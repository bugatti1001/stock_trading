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ngyuany/Documents/claude_folder/stock_trading/trading strategies/"/>
    </mc:Choice>
  </mc:AlternateContent>
  <xr:revisionPtr revIDLastSave="0" documentId="8_{A4BE7487-80E6-4C48-9C3B-06534695BBAD}" xr6:coauthVersionLast="47" xr6:coauthVersionMax="47" xr10:uidLastSave="{00000000-0000-0000-0000-000000000000}"/>
  <bookViews>
    <workbookView xWindow="180" yWindow="680" windowWidth="19200" windowHeight="10080" xr2:uid="{9042FB3E-FF41-460E-B3FF-1EE1F77B5077}"/>
  </bookViews>
  <sheets>
    <sheet name="format" sheetId="2" r:id="rId1"/>
    <sheet name="Raw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2" l="1"/>
  <c r="P2" i="2"/>
  <c r="B2" i="1"/>
  <c r="D15" i="1" s="1"/>
  <c r="G15" i="1" s="1"/>
  <c r="BF150" i="1"/>
  <c r="BD150" i="1"/>
  <c r="BC150" i="1"/>
  <c r="BB150" i="1"/>
  <c r="BA150" i="1"/>
  <c r="AZ150" i="1"/>
  <c r="AS150" i="1"/>
  <c r="AN150" i="1"/>
  <c r="V150" i="1"/>
  <c r="P150" i="1"/>
  <c r="O150" i="1"/>
  <c r="M150" i="1"/>
  <c r="L150" i="1"/>
  <c r="N150" i="1" s="1"/>
  <c r="K150" i="1"/>
  <c r="H150" i="1"/>
  <c r="G150" i="1"/>
  <c r="BE150" i="1" s="1"/>
  <c r="BF149" i="1"/>
  <c r="BC149" i="1"/>
  <c r="BA149" i="1"/>
  <c r="AZ149" i="1"/>
  <c r="AS149" i="1"/>
  <c r="BD149" i="1" s="1"/>
  <c r="AN149" i="1"/>
  <c r="V149" i="1"/>
  <c r="P149" i="1"/>
  <c r="O149" i="1"/>
  <c r="M149" i="1"/>
  <c r="L149" i="1"/>
  <c r="N149" i="1" s="1"/>
  <c r="K149" i="1"/>
  <c r="H149" i="1"/>
  <c r="G149" i="1"/>
  <c r="BE149" i="1" s="1"/>
  <c r="BF148" i="1"/>
  <c r="BC148" i="1"/>
  <c r="BB148" i="1"/>
  <c r="BA148" i="1"/>
  <c r="AZ148" i="1"/>
  <c r="AS148" i="1"/>
  <c r="BD148" i="1" s="1"/>
  <c r="AN148" i="1"/>
  <c r="V148" i="1"/>
  <c r="P148" i="1"/>
  <c r="O148" i="1"/>
  <c r="N148" i="1"/>
  <c r="M148" i="1"/>
  <c r="L148" i="1"/>
  <c r="K148" i="1"/>
  <c r="H148" i="1"/>
  <c r="G148" i="1"/>
  <c r="BE148" i="1" s="1"/>
  <c r="BF147" i="1"/>
  <c r="BD147" i="1"/>
  <c r="BC147" i="1"/>
  <c r="BE147" i="1" s="1"/>
  <c r="BB147" i="1"/>
  <c r="BA147" i="1"/>
  <c r="AZ147" i="1"/>
  <c r="AS147" i="1"/>
  <c r="AN147" i="1"/>
  <c r="V147" i="1"/>
  <c r="P147" i="1"/>
  <c r="O147" i="1"/>
  <c r="N147" i="1"/>
  <c r="M147" i="1"/>
  <c r="L147" i="1"/>
  <c r="K147" i="1"/>
  <c r="H147" i="1"/>
  <c r="G147" i="1"/>
  <c r="BF146" i="1"/>
  <c r="BD146" i="1"/>
  <c r="BC146" i="1"/>
  <c r="BB146" i="1"/>
  <c r="BA146" i="1"/>
  <c r="AZ146" i="1"/>
  <c r="AS146" i="1"/>
  <c r="AN146" i="1"/>
  <c r="V146" i="1"/>
  <c r="P146" i="1"/>
  <c r="O146" i="1"/>
  <c r="N146" i="1"/>
  <c r="M146" i="1"/>
  <c r="L146" i="1"/>
  <c r="K146" i="1"/>
  <c r="H146" i="1"/>
  <c r="G146" i="1"/>
  <c r="BE146" i="1" s="1"/>
  <c r="BF145" i="1"/>
  <c r="BC145" i="1"/>
  <c r="BA145" i="1"/>
  <c r="AZ145" i="1"/>
  <c r="AS145" i="1"/>
  <c r="BD145" i="1" s="1"/>
  <c r="AN145" i="1"/>
  <c r="V145" i="1"/>
  <c r="P145" i="1"/>
  <c r="O145" i="1"/>
  <c r="M145" i="1"/>
  <c r="L145" i="1"/>
  <c r="N145" i="1" s="1"/>
  <c r="K145" i="1"/>
  <c r="H145" i="1"/>
  <c r="G145" i="1"/>
  <c r="BE145" i="1" s="1"/>
  <c r="BF144" i="1"/>
  <c r="BC144" i="1"/>
  <c r="BB144" i="1"/>
  <c r="BA144" i="1"/>
  <c r="AZ144" i="1"/>
  <c r="AS144" i="1"/>
  <c r="BD144" i="1" s="1"/>
  <c r="AN144" i="1"/>
  <c r="V144" i="1"/>
  <c r="P144" i="1"/>
  <c r="O144" i="1"/>
  <c r="N144" i="1"/>
  <c r="M144" i="1"/>
  <c r="L144" i="1"/>
  <c r="K144" i="1"/>
  <c r="H144" i="1"/>
  <c r="G144" i="1"/>
  <c r="BE144" i="1" s="1"/>
  <c r="BF143" i="1"/>
  <c r="BD143" i="1"/>
  <c r="BC143" i="1"/>
  <c r="BE143" i="1" s="1"/>
  <c r="BB143" i="1"/>
  <c r="BA143" i="1"/>
  <c r="AZ143" i="1"/>
  <c r="AS143" i="1"/>
  <c r="AN143" i="1"/>
  <c r="V143" i="1"/>
  <c r="P143" i="1"/>
  <c r="O143" i="1"/>
  <c r="N143" i="1"/>
  <c r="M143" i="1"/>
  <c r="L143" i="1"/>
  <c r="K143" i="1"/>
  <c r="H143" i="1"/>
  <c r="G143" i="1"/>
  <c r="BF142" i="1"/>
  <c r="BD142" i="1"/>
  <c r="BC142" i="1"/>
  <c r="BB142" i="1"/>
  <c r="BA142" i="1"/>
  <c r="AZ142" i="1"/>
  <c r="AS142" i="1"/>
  <c r="AN142" i="1"/>
  <c r="V142" i="1"/>
  <c r="P142" i="1"/>
  <c r="O142" i="1"/>
  <c r="N142" i="1"/>
  <c r="M142" i="1"/>
  <c r="L142" i="1"/>
  <c r="K142" i="1"/>
  <c r="H142" i="1"/>
  <c r="G142" i="1"/>
  <c r="BE142" i="1" s="1"/>
  <c r="BF141" i="1"/>
  <c r="BC141" i="1"/>
  <c r="BA141" i="1"/>
  <c r="AZ141" i="1"/>
  <c r="AS141" i="1"/>
  <c r="BD141" i="1" s="1"/>
  <c r="AN141" i="1"/>
  <c r="V141" i="1"/>
  <c r="P141" i="1"/>
  <c r="O141" i="1"/>
  <c r="M141" i="1"/>
  <c r="L141" i="1"/>
  <c r="N141" i="1" s="1"/>
  <c r="K141" i="1"/>
  <c r="H141" i="1"/>
  <c r="G141" i="1"/>
  <c r="BE141" i="1" s="1"/>
  <c r="BF140" i="1"/>
  <c r="BC140" i="1"/>
  <c r="BB140" i="1"/>
  <c r="BA140" i="1"/>
  <c r="AZ140" i="1"/>
  <c r="AS140" i="1"/>
  <c r="BD140" i="1" s="1"/>
  <c r="AN140" i="1"/>
  <c r="V140" i="1"/>
  <c r="P140" i="1"/>
  <c r="O140" i="1"/>
  <c r="N140" i="1"/>
  <c r="M140" i="1"/>
  <c r="L140" i="1"/>
  <c r="K140" i="1"/>
  <c r="H140" i="1"/>
  <c r="G140" i="1"/>
  <c r="BE140" i="1" s="1"/>
  <c r="BF139" i="1"/>
  <c r="BD139" i="1"/>
  <c r="BC139" i="1"/>
  <c r="BE139" i="1" s="1"/>
  <c r="BB139" i="1"/>
  <c r="BA139" i="1"/>
  <c r="AZ139" i="1"/>
  <c r="AS139" i="1"/>
  <c r="AN139" i="1"/>
  <c r="V139" i="1"/>
  <c r="P139" i="1"/>
  <c r="O139" i="1"/>
  <c r="N139" i="1"/>
  <c r="M139" i="1"/>
  <c r="L139" i="1"/>
  <c r="K139" i="1"/>
  <c r="H139" i="1"/>
  <c r="G139" i="1"/>
  <c r="BF138" i="1"/>
  <c r="BD138" i="1"/>
  <c r="BC138" i="1"/>
  <c r="BB138" i="1"/>
  <c r="BA138" i="1"/>
  <c r="AZ138" i="1"/>
  <c r="AS138" i="1"/>
  <c r="AN138" i="1"/>
  <c r="V138" i="1"/>
  <c r="P138" i="1"/>
  <c r="O138" i="1"/>
  <c r="N138" i="1"/>
  <c r="M138" i="1"/>
  <c r="L138" i="1"/>
  <c r="K138" i="1"/>
  <c r="H138" i="1"/>
  <c r="G138" i="1"/>
  <c r="BE138" i="1" s="1"/>
  <c r="BF137" i="1"/>
  <c r="BC137" i="1"/>
  <c r="BA137" i="1"/>
  <c r="AZ137" i="1"/>
  <c r="AS137" i="1"/>
  <c r="BD137" i="1" s="1"/>
  <c r="AN137" i="1"/>
  <c r="V137" i="1"/>
  <c r="P137" i="1"/>
  <c r="O137" i="1"/>
  <c r="M137" i="1"/>
  <c r="L137" i="1"/>
  <c r="N137" i="1" s="1"/>
  <c r="K137" i="1"/>
  <c r="H137" i="1"/>
  <c r="G137" i="1"/>
  <c r="BE137" i="1" s="1"/>
  <c r="BF136" i="1"/>
  <c r="BC136" i="1"/>
  <c r="BB136" i="1"/>
  <c r="BA136" i="1"/>
  <c r="AZ136" i="1"/>
  <c r="AS136" i="1"/>
  <c r="BD136" i="1" s="1"/>
  <c r="AN136" i="1"/>
  <c r="V136" i="1"/>
  <c r="P136" i="1"/>
  <c r="O136" i="1"/>
  <c r="N136" i="1"/>
  <c r="M136" i="1"/>
  <c r="L136" i="1"/>
  <c r="K136" i="1"/>
  <c r="H136" i="1"/>
  <c r="G136" i="1"/>
  <c r="BE136" i="1" s="1"/>
  <c r="BF135" i="1"/>
  <c r="BD135" i="1"/>
  <c r="BC135" i="1"/>
  <c r="BE135" i="1" s="1"/>
  <c r="BB135" i="1"/>
  <c r="BA135" i="1"/>
  <c r="AZ135" i="1"/>
  <c r="AS135" i="1"/>
  <c r="AN135" i="1"/>
  <c r="V135" i="1"/>
  <c r="P135" i="1"/>
  <c r="O135" i="1"/>
  <c r="N135" i="1"/>
  <c r="M135" i="1"/>
  <c r="L135" i="1"/>
  <c r="K135" i="1"/>
  <c r="H135" i="1"/>
  <c r="G135" i="1"/>
  <c r="BF134" i="1"/>
  <c r="BD134" i="1"/>
  <c r="BC134" i="1"/>
  <c r="BB134" i="1"/>
  <c r="BA134" i="1"/>
  <c r="AZ134" i="1"/>
  <c r="AS134" i="1"/>
  <c r="AN134" i="1"/>
  <c r="V134" i="1"/>
  <c r="P134" i="1"/>
  <c r="O134" i="1"/>
  <c r="N134" i="1"/>
  <c r="M134" i="1"/>
  <c r="L134" i="1"/>
  <c r="K134" i="1"/>
  <c r="H134" i="1"/>
  <c r="G134" i="1"/>
  <c r="BE134" i="1" s="1"/>
  <c r="BF133" i="1"/>
  <c r="BC133" i="1"/>
  <c r="BA133" i="1"/>
  <c r="AZ133" i="1"/>
  <c r="AS133" i="1"/>
  <c r="BD133" i="1" s="1"/>
  <c r="AN133" i="1"/>
  <c r="V133" i="1"/>
  <c r="P133" i="1"/>
  <c r="O133" i="1"/>
  <c r="M133" i="1"/>
  <c r="L133" i="1"/>
  <c r="N133" i="1" s="1"/>
  <c r="K133" i="1"/>
  <c r="H133" i="1"/>
  <c r="G133" i="1"/>
  <c r="BE133" i="1" s="1"/>
  <c r="BF132" i="1"/>
  <c r="BC132" i="1"/>
  <c r="BB132" i="1"/>
  <c r="BA132" i="1"/>
  <c r="AZ132" i="1"/>
  <c r="AS132" i="1"/>
  <c r="BD132" i="1" s="1"/>
  <c r="AN132" i="1"/>
  <c r="V132" i="1"/>
  <c r="P132" i="1"/>
  <c r="O132" i="1"/>
  <c r="N132" i="1"/>
  <c r="M132" i="1"/>
  <c r="L132" i="1"/>
  <c r="K132" i="1"/>
  <c r="H132" i="1"/>
  <c r="G132" i="1"/>
  <c r="BE132" i="1" s="1"/>
  <c r="BF131" i="1"/>
  <c r="BD131" i="1"/>
  <c r="BC131" i="1"/>
  <c r="BE131" i="1" s="1"/>
  <c r="BB131" i="1"/>
  <c r="BA131" i="1"/>
  <c r="AZ131" i="1"/>
  <c r="AS131" i="1"/>
  <c r="AN131" i="1"/>
  <c r="V131" i="1"/>
  <c r="P131" i="1"/>
  <c r="O131" i="1"/>
  <c r="N131" i="1"/>
  <c r="M131" i="1"/>
  <c r="L131" i="1"/>
  <c r="K131" i="1"/>
  <c r="H131" i="1"/>
  <c r="G131" i="1"/>
  <c r="BF130" i="1"/>
  <c r="BE130" i="1"/>
  <c r="BD130" i="1"/>
  <c r="BC130" i="1"/>
  <c r="BA130" i="1"/>
  <c r="AZ130" i="1"/>
  <c r="AS130" i="1"/>
  <c r="AO130" i="1"/>
  <c r="BB130" i="1" s="1"/>
  <c r="AN130" i="1"/>
  <c r="V130" i="1"/>
  <c r="P130" i="1"/>
  <c r="O130" i="1"/>
  <c r="N130" i="1"/>
  <c r="M130" i="1"/>
  <c r="L130" i="1"/>
  <c r="K130" i="1"/>
  <c r="H130" i="1"/>
  <c r="G130" i="1"/>
  <c r="BF129" i="1"/>
  <c r="BC129" i="1"/>
  <c r="BD129" i="1" s="1"/>
  <c r="BA129" i="1"/>
  <c r="BB129" i="1" s="1"/>
  <c r="AZ129" i="1"/>
  <c r="AS129" i="1"/>
  <c r="AN129" i="1"/>
  <c r="V129" i="1"/>
  <c r="P129" i="1"/>
  <c r="O129" i="1"/>
  <c r="M129" i="1"/>
  <c r="L129" i="1"/>
  <c r="N129" i="1" s="1"/>
  <c r="K129" i="1"/>
  <c r="H129" i="1"/>
  <c r="G129" i="1"/>
  <c r="BE129" i="1" s="1"/>
  <c r="BF128" i="1"/>
  <c r="BC128" i="1"/>
  <c r="BB128" i="1"/>
  <c r="BA128" i="1"/>
  <c r="AZ128" i="1"/>
  <c r="AS128" i="1"/>
  <c r="AN128" i="1"/>
  <c r="V128" i="1"/>
  <c r="P128" i="1"/>
  <c r="O128" i="1"/>
  <c r="N128" i="1"/>
  <c r="M128" i="1"/>
  <c r="L128" i="1"/>
  <c r="K128" i="1"/>
  <c r="J128" i="1"/>
  <c r="H128" i="1"/>
  <c r="G128" i="1"/>
  <c r="BF127" i="1"/>
  <c r="BD127" i="1"/>
  <c r="BC127" i="1"/>
  <c r="BB127" i="1"/>
  <c r="BA127" i="1"/>
  <c r="AZ127" i="1"/>
  <c r="AS127" i="1"/>
  <c r="AN127" i="1"/>
  <c r="V127" i="1"/>
  <c r="P127" i="1"/>
  <c r="O127" i="1"/>
  <c r="N127" i="1"/>
  <c r="M127" i="1"/>
  <c r="L127" i="1"/>
  <c r="K127" i="1"/>
  <c r="H127" i="1"/>
  <c r="G127" i="1"/>
  <c r="BE127" i="1" s="1"/>
  <c r="BF126" i="1"/>
  <c r="BC126" i="1"/>
  <c r="BA126" i="1"/>
  <c r="AZ126" i="1"/>
  <c r="AS126" i="1"/>
  <c r="BD126" i="1" s="1"/>
  <c r="AN126" i="1"/>
  <c r="V126" i="1"/>
  <c r="P126" i="1"/>
  <c r="O126" i="1"/>
  <c r="M126" i="1"/>
  <c r="L126" i="1"/>
  <c r="N126" i="1" s="1"/>
  <c r="K126" i="1"/>
  <c r="H126" i="1"/>
  <c r="G126" i="1"/>
  <c r="BE126" i="1" s="1"/>
  <c r="BF125" i="1"/>
  <c r="BC125" i="1"/>
  <c r="BB125" i="1"/>
  <c r="BA125" i="1"/>
  <c r="AZ125" i="1"/>
  <c r="AS125" i="1"/>
  <c r="BD125" i="1" s="1"/>
  <c r="AN125" i="1"/>
  <c r="V125" i="1"/>
  <c r="P125" i="1"/>
  <c r="O125" i="1"/>
  <c r="N125" i="1"/>
  <c r="M125" i="1"/>
  <c r="L125" i="1"/>
  <c r="K125" i="1"/>
  <c r="H125" i="1"/>
  <c r="G125" i="1"/>
  <c r="BE125" i="1" s="1"/>
  <c r="BF124" i="1"/>
  <c r="BD124" i="1"/>
  <c r="BC124" i="1"/>
  <c r="BB124" i="1"/>
  <c r="BA124" i="1"/>
  <c r="AZ124" i="1"/>
  <c r="AS124" i="1"/>
  <c r="AN124" i="1"/>
  <c r="V124" i="1"/>
  <c r="P124" i="1"/>
  <c r="O124" i="1"/>
  <c r="N124" i="1"/>
  <c r="M124" i="1"/>
  <c r="L124" i="1"/>
  <c r="K124" i="1"/>
  <c r="J124" i="1"/>
  <c r="H124" i="1"/>
  <c r="G124" i="1"/>
  <c r="BF123" i="1"/>
  <c r="BC123" i="1"/>
  <c r="BA123" i="1"/>
  <c r="BB123" i="1" s="1"/>
  <c r="AZ123" i="1"/>
  <c r="AS123" i="1"/>
  <c r="BD123" i="1" s="1"/>
  <c r="AN123" i="1"/>
  <c r="V123" i="1"/>
  <c r="P123" i="1"/>
  <c r="O123" i="1"/>
  <c r="N123" i="1"/>
  <c r="M123" i="1"/>
  <c r="L123" i="1"/>
  <c r="K123" i="1"/>
  <c r="H123" i="1"/>
  <c r="G123" i="1"/>
  <c r="BE123" i="1" s="1"/>
  <c r="BF122" i="1"/>
  <c r="BC122" i="1"/>
  <c r="BD122" i="1" s="1"/>
  <c r="BA122" i="1"/>
  <c r="BB122" i="1" s="1"/>
  <c r="AZ122" i="1"/>
  <c r="AS122" i="1"/>
  <c r="AN122" i="1"/>
  <c r="V122" i="1"/>
  <c r="P122" i="1"/>
  <c r="O122" i="1"/>
  <c r="M122" i="1"/>
  <c r="L122" i="1"/>
  <c r="N122" i="1" s="1"/>
  <c r="K122" i="1"/>
  <c r="H122" i="1"/>
  <c r="G122" i="1"/>
  <c r="BE122" i="1" s="1"/>
  <c r="BF121" i="1"/>
  <c r="BC121" i="1"/>
  <c r="BB121" i="1"/>
  <c r="BA121" i="1"/>
  <c r="AZ121" i="1"/>
  <c r="AS121" i="1"/>
  <c r="AN121" i="1"/>
  <c r="V121" i="1"/>
  <c r="P121" i="1"/>
  <c r="O121" i="1"/>
  <c r="N121" i="1"/>
  <c r="M121" i="1"/>
  <c r="L121" i="1"/>
  <c r="K121" i="1"/>
  <c r="H121" i="1"/>
  <c r="G121" i="1"/>
  <c r="BF120" i="1"/>
  <c r="BD120" i="1"/>
  <c r="BC120" i="1"/>
  <c r="BB120" i="1"/>
  <c r="BA120" i="1"/>
  <c r="AZ120" i="1"/>
  <c r="AS120" i="1"/>
  <c r="AN120" i="1"/>
  <c r="V120" i="1"/>
  <c r="P120" i="1"/>
  <c r="O120" i="1"/>
  <c r="N120" i="1"/>
  <c r="M120" i="1"/>
  <c r="L120" i="1"/>
  <c r="K120" i="1"/>
  <c r="H120" i="1"/>
  <c r="G120" i="1"/>
  <c r="BE120" i="1" s="1"/>
  <c r="BF119" i="1"/>
  <c r="BC119" i="1"/>
  <c r="BA119" i="1"/>
  <c r="BB119" i="1" s="1"/>
  <c r="AZ119" i="1"/>
  <c r="AS119" i="1"/>
  <c r="BD119" i="1" s="1"/>
  <c r="AN119" i="1"/>
  <c r="V119" i="1"/>
  <c r="P119" i="1"/>
  <c r="O119" i="1"/>
  <c r="N119" i="1"/>
  <c r="M119" i="1"/>
  <c r="L119" i="1"/>
  <c r="K119" i="1"/>
  <c r="H119" i="1"/>
  <c r="G119" i="1"/>
  <c r="BE119" i="1" s="1"/>
  <c r="BF118" i="1"/>
  <c r="BC118" i="1"/>
  <c r="BD118" i="1" s="1"/>
  <c r="BA118" i="1"/>
  <c r="BB118" i="1" s="1"/>
  <c r="AZ118" i="1"/>
  <c r="AS118" i="1"/>
  <c r="AN118" i="1"/>
  <c r="V118" i="1"/>
  <c r="P118" i="1"/>
  <c r="O118" i="1"/>
  <c r="M118" i="1"/>
  <c r="L118" i="1"/>
  <c r="N118" i="1" s="1"/>
  <c r="K118" i="1"/>
  <c r="H118" i="1"/>
  <c r="G118" i="1"/>
  <c r="BE118" i="1" s="1"/>
  <c r="BF117" i="1"/>
  <c r="BC117" i="1"/>
  <c r="BB117" i="1"/>
  <c r="BA117" i="1"/>
  <c r="AZ117" i="1"/>
  <c r="AS117" i="1"/>
  <c r="AN117" i="1"/>
  <c r="V117" i="1"/>
  <c r="P117" i="1"/>
  <c r="O117" i="1"/>
  <c r="N117" i="1"/>
  <c r="M117" i="1"/>
  <c r="L117" i="1"/>
  <c r="K117" i="1"/>
  <c r="H117" i="1"/>
  <c r="G117" i="1"/>
  <c r="BF116" i="1"/>
  <c r="BD116" i="1"/>
  <c r="BC116" i="1"/>
  <c r="BB116" i="1"/>
  <c r="BA116" i="1"/>
  <c r="AZ116" i="1"/>
  <c r="AS116" i="1"/>
  <c r="AN116" i="1"/>
  <c r="V116" i="1"/>
  <c r="P116" i="1"/>
  <c r="O116" i="1"/>
  <c r="N116" i="1"/>
  <c r="M116" i="1"/>
  <c r="L116" i="1"/>
  <c r="K116" i="1"/>
  <c r="H116" i="1"/>
  <c r="G116" i="1"/>
  <c r="BE116" i="1" s="1"/>
  <c r="BF115" i="1"/>
  <c r="BC115" i="1"/>
  <c r="BA115" i="1"/>
  <c r="AZ115" i="1"/>
  <c r="AS115" i="1"/>
  <c r="BD115" i="1" s="1"/>
  <c r="AN115" i="1"/>
  <c r="V115" i="1"/>
  <c r="P115" i="1"/>
  <c r="O115" i="1"/>
  <c r="N115" i="1"/>
  <c r="M115" i="1"/>
  <c r="L115" i="1"/>
  <c r="K115" i="1"/>
  <c r="H115" i="1"/>
  <c r="G115" i="1"/>
  <c r="BE115" i="1" s="1"/>
  <c r="BF114" i="1"/>
  <c r="BA114" i="1"/>
  <c r="BB114" i="1" s="1"/>
  <c r="AZ114" i="1"/>
  <c r="AS114" i="1"/>
  <c r="AN114" i="1"/>
  <c r="AE114" i="1"/>
  <c r="BC114" i="1" s="1"/>
  <c r="AB114" i="1"/>
  <c r="V114" i="1"/>
  <c r="P114" i="1"/>
  <c r="O114" i="1"/>
  <c r="N114" i="1"/>
  <c r="M114" i="1"/>
  <c r="L114" i="1"/>
  <c r="K114" i="1"/>
  <c r="J114" i="1"/>
  <c r="H114" i="1"/>
  <c r="G114" i="1"/>
  <c r="BF113" i="1"/>
  <c r="BD113" i="1"/>
  <c r="BC113" i="1"/>
  <c r="BB113" i="1"/>
  <c r="BA113" i="1"/>
  <c r="AZ113" i="1"/>
  <c r="AS113" i="1"/>
  <c r="AN113" i="1"/>
  <c r="V113" i="1"/>
  <c r="P113" i="1"/>
  <c r="O113" i="1"/>
  <c r="N113" i="1"/>
  <c r="M113" i="1"/>
  <c r="L113" i="1"/>
  <c r="K113" i="1"/>
  <c r="H113" i="1"/>
  <c r="G113" i="1"/>
  <c r="BE113" i="1" s="1"/>
  <c r="BF112" i="1"/>
  <c r="BC112" i="1"/>
  <c r="BA112" i="1"/>
  <c r="AZ112" i="1"/>
  <c r="AS112" i="1"/>
  <c r="BD112" i="1" s="1"/>
  <c r="AN112" i="1"/>
  <c r="V112" i="1"/>
  <c r="P112" i="1"/>
  <c r="O112" i="1"/>
  <c r="M112" i="1"/>
  <c r="L112" i="1"/>
  <c r="N112" i="1" s="1"/>
  <c r="K112" i="1"/>
  <c r="H112" i="1"/>
  <c r="G112" i="1"/>
  <c r="BE112" i="1" s="1"/>
  <c r="BF111" i="1"/>
  <c r="BC111" i="1"/>
  <c r="BB111" i="1"/>
  <c r="BA111" i="1"/>
  <c r="AZ111" i="1"/>
  <c r="AS111" i="1"/>
  <c r="BD111" i="1" s="1"/>
  <c r="AN111" i="1"/>
  <c r="V111" i="1"/>
  <c r="P111" i="1"/>
  <c r="O111" i="1"/>
  <c r="N111" i="1"/>
  <c r="M111" i="1"/>
  <c r="L111" i="1"/>
  <c r="K111" i="1"/>
  <c r="H111" i="1"/>
  <c r="G111" i="1"/>
  <c r="BE111" i="1" s="1"/>
  <c r="BF110" i="1"/>
  <c r="BD110" i="1"/>
  <c r="BC110" i="1"/>
  <c r="BE110" i="1" s="1"/>
  <c r="BB110" i="1"/>
  <c r="BA110" i="1"/>
  <c r="AZ110" i="1"/>
  <c r="AS110" i="1"/>
  <c r="AN110" i="1"/>
  <c r="V110" i="1"/>
  <c r="P110" i="1"/>
  <c r="O110" i="1"/>
  <c r="N110" i="1"/>
  <c r="M110" i="1"/>
  <c r="L110" i="1"/>
  <c r="K110" i="1"/>
  <c r="H110" i="1"/>
  <c r="G110" i="1"/>
  <c r="BF109" i="1"/>
  <c r="BD109" i="1"/>
  <c r="BC109" i="1"/>
  <c r="BB109" i="1"/>
  <c r="BA109" i="1"/>
  <c r="AZ109" i="1"/>
  <c r="AS109" i="1"/>
  <c r="AN109" i="1"/>
  <c r="V109" i="1"/>
  <c r="P109" i="1"/>
  <c r="O109" i="1"/>
  <c r="N109" i="1"/>
  <c r="M109" i="1"/>
  <c r="L109" i="1"/>
  <c r="K109" i="1"/>
  <c r="H109" i="1"/>
  <c r="G109" i="1"/>
  <c r="BE109" i="1" s="1"/>
  <c r="BF108" i="1"/>
  <c r="BE108" i="1"/>
  <c r="BC108" i="1"/>
  <c r="BA108" i="1"/>
  <c r="AZ108" i="1"/>
  <c r="AS108" i="1"/>
  <c r="BD108" i="1" s="1"/>
  <c r="AN108" i="1"/>
  <c r="V108" i="1"/>
  <c r="P108" i="1"/>
  <c r="O108" i="1"/>
  <c r="M108" i="1"/>
  <c r="L108" i="1"/>
  <c r="N108" i="1" s="1"/>
  <c r="K108" i="1"/>
  <c r="J108" i="1"/>
  <c r="H108" i="1"/>
  <c r="G108" i="1"/>
  <c r="BF107" i="1"/>
  <c r="BC107" i="1"/>
  <c r="BB107" i="1"/>
  <c r="BA107" i="1"/>
  <c r="AZ107" i="1"/>
  <c r="AS107" i="1"/>
  <c r="AN107" i="1"/>
  <c r="V107" i="1"/>
  <c r="P107" i="1"/>
  <c r="O107" i="1"/>
  <c r="N107" i="1"/>
  <c r="M107" i="1"/>
  <c r="L107" i="1"/>
  <c r="K107" i="1"/>
  <c r="H107" i="1"/>
  <c r="G107" i="1"/>
  <c r="BF106" i="1"/>
  <c r="BE106" i="1"/>
  <c r="BD106" i="1"/>
  <c r="BC106" i="1"/>
  <c r="BB106" i="1"/>
  <c r="BA106" i="1"/>
  <c r="AZ106" i="1"/>
  <c r="AS106" i="1"/>
  <c r="AN106" i="1"/>
  <c r="V106" i="1"/>
  <c r="P106" i="1"/>
  <c r="O106" i="1"/>
  <c r="N106" i="1"/>
  <c r="M106" i="1"/>
  <c r="L106" i="1"/>
  <c r="K106" i="1"/>
  <c r="J106" i="1"/>
  <c r="H106" i="1"/>
  <c r="G106" i="1"/>
  <c r="BF105" i="1"/>
  <c r="BC105" i="1"/>
  <c r="BA105" i="1"/>
  <c r="AZ105" i="1"/>
  <c r="AS105" i="1"/>
  <c r="BD105" i="1" s="1"/>
  <c r="AN105" i="1"/>
  <c r="V105" i="1"/>
  <c r="P105" i="1"/>
  <c r="O105" i="1"/>
  <c r="M105" i="1"/>
  <c r="L105" i="1"/>
  <c r="N105" i="1" s="1"/>
  <c r="K105" i="1"/>
  <c r="H105" i="1"/>
  <c r="G105" i="1"/>
  <c r="BE105" i="1" s="1"/>
  <c r="BF104" i="1"/>
  <c r="BC104" i="1"/>
  <c r="BB104" i="1"/>
  <c r="BA104" i="1"/>
  <c r="AZ104" i="1"/>
  <c r="AS104" i="1"/>
  <c r="BD104" i="1" s="1"/>
  <c r="AN104" i="1"/>
  <c r="V104" i="1"/>
  <c r="P104" i="1"/>
  <c r="O104" i="1"/>
  <c r="N104" i="1"/>
  <c r="M104" i="1"/>
  <c r="L104" i="1"/>
  <c r="K104" i="1"/>
  <c r="H104" i="1"/>
  <c r="G104" i="1"/>
  <c r="BE104" i="1" s="1"/>
  <c r="BF103" i="1"/>
  <c r="BD103" i="1"/>
  <c r="BC103" i="1"/>
  <c r="BE103" i="1" s="1"/>
  <c r="BB103" i="1"/>
  <c r="BA103" i="1"/>
  <c r="AZ103" i="1"/>
  <c r="AS103" i="1"/>
  <c r="AN103" i="1"/>
  <c r="V103" i="1"/>
  <c r="P103" i="1"/>
  <c r="O103" i="1"/>
  <c r="N103" i="1"/>
  <c r="M103" i="1"/>
  <c r="L103" i="1"/>
  <c r="K103" i="1"/>
  <c r="H103" i="1"/>
  <c r="G103" i="1"/>
  <c r="BF102" i="1"/>
  <c r="BD102" i="1"/>
  <c r="BC102" i="1"/>
  <c r="BB102" i="1"/>
  <c r="BA102" i="1"/>
  <c r="AZ102" i="1"/>
  <c r="AS102" i="1"/>
  <c r="AN102" i="1"/>
  <c r="V102" i="1"/>
  <c r="P102" i="1"/>
  <c r="O102" i="1"/>
  <c r="N102" i="1"/>
  <c r="M102" i="1"/>
  <c r="L102" i="1"/>
  <c r="K102" i="1"/>
  <c r="H102" i="1"/>
  <c r="G102" i="1"/>
  <c r="BE102" i="1" s="1"/>
  <c r="BF101" i="1"/>
  <c r="BE101" i="1"/>
  <c r="BC101" i="1"/>
  <c r="BA101" i="1"/>
  <c r="AZ101" i="1"/>
  <c r="AS101" i="1"/>
  <c r="BD101" i="1" s="1"/>
  <c r="AN101" i="1"/>
  <c r="V101" i="1"/>
  <c r="P101" i="1"/>
  <c r="O101" i="1"/>
  <c r="M101" i="1"/>
  <c r="L101" i="1"/>
  <c r="N101" i="1" s="1"/>
  <c r="K101" i="1"/>
  <c r="J101" i="1"/>
  <c r="H101" i="1"/>
  <c r="G101" i="1"/>
  <c r="BF100" i="1"/>
  <c r="BC100" i="1"/>
  <c r="BB100" i="1"/>
  <c r="BA100" i="1"/>
  <c r="AZ100" i="1"/>
  <c r="AS100" i="1"/>
  <c r="AN100" i="1"/>
  <c r="V100" i="1"/>
  <c r="P100" i="1"/>
  <c r="O100" i="1"/>
  <c r="N100" i="1"/>
  <c r="M100" i="1"/>
  <c r="L100" i="1"/>
  <c r="K100" i="1"/>
  <c r="H100" i="1"/>
  <c r="G100" i="1"/>
  <c r="BF99" i="1"/>
  <c r="BD99" i="1"/>
  <c r="BC99" i="1"/>
  <c r="BB99" i="1"/>
  <c r="BA99" i="1"/>
  <c r="AZ99" i="1"/>
  <c r="AS99" i="1"/>
  <c r="AN99" i="1"/>
  <c r="V99" i="1"/>
  <c r="P99" i="1"/>
  <c r="O99" i="1"/>
  <c r="N99" i="1"/>
  <c r="M99" i="1"/>
  <c r="L99" i="1"/>
  <c r="K99" i="1"/>
  <c r="H99" i="1"/>
  <c r="G99" i="1"/>
  <c r="BE99" i="1" s="1"/>
  <c r="BF98" i="1"/>
  <c r="BC98" i="1"/>
  <c r="BA98" i="1"/>
  <c r="BB98" i="1" s="1"/>
  <c r="AZ98" i="1"/>
  <c r="AS98" i="1"/>
  <c r="BD98" i="1" s="1"/>
  <c r="AN98" i="1"/>
  <c r="V98" i="1"/>
  <c r="P98" i="1"/>
  <c r="O98" i="1"/>
  <c r="M98" i="1"/>
  <c r="L98" i="1"/>
  <c r="N98" i="1" s="1"/>
  <c r="K98" i="1"/>
  <c r="H98" i="1"/>
  <c r="G98" i="1"/>
  <c r="BE98" i="1" s="1"/>
  <c r="BF97" i="1"/>
  <c r="BC97" i="1"/>
  <c r="BD97" i="1" s="1"/>
  <c r="BA97" i="1"/>
  <c r="BB97" i="1" s="1"/>
  <c r="AZ97" i="1"/>
  <c r="AS97" i="1"/>
  <c r="AN97" i="1"/>
  <c r="V97" i="1"/>
  <c r="P97" i="1"/>
  <c r="O97" i="1"/>
  <c r="M97" i="1"/>
  <c r="L97" i="1"/>
  <c r="N97" i="1" s="1"/>
  <c r="K97" i="1"/>
  <c r="H97" i="1"/>
  <c r="G97" i="1"/>
  <c r="BE97" i="1" s="1"/>
  <c r="BF96" i="1"/>
  <c r="BC96" i="1"/>
  <c r="BB96" i="1"/>
  <c r="BA96" i="1"/>
  <c r="AZ96" i="1"/>
  <c r="AS96" i="1"/>
  <c r="AN96" i="1"/>
  <c r="AE96" i="1"/>
  <c r="AB96" i="1"/>
  <c r="V96" i="1"/>
  <c r="P96" i="1"/>
  <c r="O96" i="1"/>
  <c r="M96" i="1"/>
  <c r="K96" i="1"/>
  <c r="J96" i="1"/>
  <c r="L96" i="1" s="1"/>
  <c r="N96" i="1" s="1"/>
  <c r="H96" i="1"/>
  <c r="G96" i="1"/>
  <c r="BF95" i="1"/>
  <c r="BC95" i="1"/>
  <c r="BA95" i="1"/>
  <c r="AZ95" i="1"/>
  <c r="AS95" i="1"/>
  <c r="BD95" i="1" s="1"/>
  <c r="AN95" i="1"/>
  <c r="V95" i="1"/>
  <c r="P95" i="1"/>
  <c r="O95" i="1"/>
  <c r="M95" i="1"/>
  <c r="L95" i="1"/>
  <c r="N95" i="1" s="1"/>
  <c r="K95" i="1"/>
  <c r="H95" i="1"/>
  <c r="G95" i="1"/>
  <c r="BE95" i="1" s="1"/>
  <c r="BF94" i="1"/>
  <c r="BC94" i="1"/>
  <c r="BE94" i="1" s="1"/>
  <c r="BB94" i="1"/>
  <c r="BA94" i="1"/>
  <c r="AZ94" i="1"/>
  <c r="AS94" i="1"/>
  <c r="BD94" i="1" s="1"/>
  <c r="AN94" i="1"/>
  <c r="V94" i="1"/>
  <c r="P94" i="1"/>
  <c r="O94" i="1"/>
  <c r="N94" i="1"/>
  <c r="M94" i="1"/>
  <c r="L94" i="1"/>
  <c r="K94" i="1"/>
  <c r="H94" i="1"/>
  <c r="G94" i="1"/>
  <c r="BF93" i="1"/>
  <c r="BD93" i="1"/>
  <c r="BC93" i="1"/>
  <c r="BE93" i="1" s="1"/>
  <c r="BB93" i="1"/>
  <c r="BA93" i="1"/>
  <c r="AZ93" i="1"/>
  <c r="AS93" i="1"/>
  <c r="V93" i="1"/>
  <c r="P93" i="1"/>
  <c r="O93" i="1"/>
  <c r="N93" i="1"/>
  <c r="M93" i="1"/>
  <c r="L93" i="1"/>
  <c r="K93" i="1"/>
  <c r="H93" i="1"/>
  <c r="G93" i="1"/>
  <c r="BF92" i="1"/>
  <c r="BE92" i="1"/>
  <c r="BD92" i="1"/>
  <c r="BC92" i="1"/>
  <c r="BB92" i="1"/>
  <c r="BA92" i="1"/>
  <c r="AZ92" i="1"/>
  <c r="AS92" i="1"/>
  <c r="AN92" i="1"/>
  <c r="V92" i="1"/>
  <c r="P92" i="1"/>
  <c r="O92" i="1"/>
  <c r="M92" i="1"/>
  <c r="K92" i="1"/>
  <c r="J92" i="1"/>
  <c r="L92" i="1" s="1"/>
  <c r="N92" i="1" s="1"/>
  <c r="H92" i="1"/>
  <c r="G92" i="1"/>
  <c r="BF91" i="1"/>
  <c r="BE91" i="1"/>
  <c r="BC91" i="1"/>
  <c r="BA91" i="1"/>
  <c r="AZ91" i="1"/>
  <c r="AS91" i="1"/>
  <c r="BD91" i="1" s="1"/>
  <c r="AN91" i="1"/>
  <c r="W91" i="1"/>
  <c r="P91" i="1" s="1"/>
  <c r="V91" i="1"/>
  <c r="O91" i="1"/>
  <c r="M91" i="1"/>
  <c r="L91" i="1"/>
  <c r="N91" i="1" s="1"/>
  <c r="K91" i="1"/>
  <c r="H91" i="1"/>
  <c r="G91" i="1"/>
  <c r="BF90" i="1"/>
  <c r="BC90" i="1"/>
  <c r="BB90" i="1"/>
  <c r="BA90" i="1"/>
  <c r="AZ90" i="1"/>
  <c r="AS90" i="1"/>
  <c r="AN90" i="1"/>
  <c r="AB90" i="1"/>
  <c r="V90" i="1"/>
  <c r="P90" i="1"/>
  <c r="O90" i="1"/>
  <c r="N90" i="1"/>
  <c r="M90" i="1"/>
  <c r="L90" i="1"/>
  <c r="K90" i="1"/>
  <c r="H90" i="1"/>
  <c r="G90" i="1"/>
  <c r="BF89" i="1"/>
  <c r="BB89" i="1"/>
  <c r="BA89" i="1"/>
  <c r="AZ89" i="1"/>
  <c r="AS89" i="1"/>
  <c r="AN89" i="1"/>
  <c r="AB89" i="1"/>
  <c r="BC89" i="1" s="1"/>
  <c r="V89" i="1"/>
  <c r="P89" i="1"/>
  <c r="O89" i="1"/>
  <c r="M89" i="1"/>
  <c r="L89" i="1"/>
  <c r="N89" i="1" s="1"/>
  <c r="K89" i="1"/>
  <c r="H89" i="1"/>
  <c r="G89" i="1"/>
  <c r="BF88" i="1"/>
  <c r="BE88" i="1"/>
  <c r="BC88" i="1"/>
  <c r="BD88" i="1" s="1"/>
  <c r="BA88" i="1"/>
  <c r="BB88" i="1" s="1"/>
  <c r="AZ88" i="1"/>
  <c r="AS88" i="1"/>
  <c r="AN88" i="1"/>
  <c r="V88" i="1"/>
  <c r="P88" i="1"/>
  <c r="O88" i="1"/>
  <c r="M88" i="1"/>
  <c r="L88" i="1"/>
  <c r="N88" i="1" s="1"/>
  <c r="K88" i="1"/>
  <c r="J88" i="1"/>
  <c r="H88" i="1"/>
  <c r="G88" i="1"/>
  <c r="BF87" i="1"/>
  <c r="BD87" i="1"/>
  <c r="BC87" i="1"/>
  <c r="BB87" i="1"/>
  <c r="BA87" i="1"/>
  <c r="AZ87" i="1"/>
  <c r="AS87" i="1"/>
  <c r="AN87" i="1"/>
  <c r="AB87" i="1"/>
  <c r="V87" i="1"/>
  <c r="P87" i="1"/>
  <c r="O87" i="1"/>
  <c r="N87" i="1"/>
  <c r="M87" i="1"/>
  <c r="L87" i="1"/>
  <c r="K87" i="1"/>
  <c r="H87" i="1"/>
  <c r="G87" i="1"/>
  <c r="BF86" i="1"/>
  <c r="BA86" i="1"/>
  <c r="AZ86" i="1"/>
  <c r="AS86" i="1"/>
  <c r="BB86" i="1" s="1"/>
  <c r="AN86" i="1"/>
  <c r="AE86" i="1"/>
  <c r="AB86" i="1"/>
  <c r="BC86" i="1" s="1"/>
  <c r="V86" i="1"/>
  <c r="P86" i="1"/>
  <c r="O86" i="1"/>
  <c r="M86" i="1"/>
  <c r="L86" i="1"/>
  <c r="N86" i="1" s="1"/>
  <c r="K86" i="1"/>
  <c r="J86" i="1"/>
  <c r="H86" i="1"/>
  <c r="G86" i="1"/>
  <c r="BF85" i="1"/>
  <c r="BD85" i="1"/>
  <c r="BC85" i="1"/>
  <c r="BE85" i="1" s="1"/>
  <c r="BB85" i="1"/>
  <c r="BA85" i="1"/>
  <c r="AZ85" i="1"/>
  <c r="AS85" i="1"/>
  <c r="AN85" i="1"/>
  <c r="V85" i="1"/>
  <c r="P85" i="1"/>
  <c r="O85" i="1"/>
  <c r="N85" i="1"/>
  <c r="M85" i="1"/>
  <c r="L85" i="1"/>
  <c r="K85" i="1"/>
  <c r="H85" i="1"/>
  <c r="G85" i="1"/>
  <c r="BF84" i="1"/>
  <c r="BD84" i="1"/>
  <c r="BC84" i="1"/>
  <c r="BB84" i="1"/>
  <c r="BA84" i="1"/>
  <c r="AZ84" i="1"/>
  <c r="AS84" i="1"/>
  <c r="AN84" i="1"/>
  <c r="V84" i="1"/>
  <c r="P84" i="1"/>
  <c r="O84" i="1"/>
  <c r="N84" i="1"/>
  <c r="M84" i="1"/>
  <c r="L84" i="1"/>
  <c r="K84" i="1"/>
  <c r="H84" i="1"/>
  <c r="G84" i="1"/>
  <c r="BE84" i="1" s="1"/>
  <c r="BF82" i="1"/>
  <c r="BC82" i="1"/>
  <c r="BA82" i="1"/>
  <c r="BB82" i="1" s="1"/>
  <c r="AZ82" i="1"/>
  <c r="AS82" i="1"/>
  <c r="BD82" i="1" s="1"/>
  <c r="AN82" i="1"/>
  <c r="V82" i="1"/>
  <c r="O82" i="1"/>
  <c r="M82" i="1"/>
  <c r="L82" i="1"/>
  <c r="N82" i="1" s="1"/>
  <c r="K82" i="1"/>
  <c r="H82" i="1"/>
  <c r="BF81" i="1"/>
  <c r="BC81" i="1"/>
  <c r="BB81" i="1"/>
  <c r="BA81" i="1"/>
  <c r="AZ81" i="1"/>
  <c r="AS81" i="1"/>
  <c r="AN81" i="1"/>
  <c r="V81" i="1"/>
  <c r="O81" i="1"/>
  <c r="N81" i="1"/>
  <c r="M81" i="1"/>
  <c r="L81" i="1"/>
  <c r="K81" i="1"/>
  <c r="H81" i="1"/>
  <c r="BF80" i="1"/>
  <c r="BD80" i="1"/>
  <c r="BC80" i="1"/>
  <c r="BB80" i="1"/>
  <c r="BA80" i="1"/>
  <c r="AZ80" i="1"/>
  <c r="AS80" i="1"/>
  <c r="AN80" i="1"/>
  <c r="V80" i="1"/>
  <c r="O80" i="1"/>
  <c r="N80" i="1"/>
  <c r="M80" i="1"/>
  <c r="L80" i="1"/>
  <c r="K80" i="1"/>
  <c r="H80" i="1"/>
  <c r="BF79" i="1"/>
  <c r="BC79" i="1"/>
  <c r="BD79" i="1" s="1"/>
  <c r="BA79" i="1"/>
  <c r="BB79" i="1" s="1"/>
  <c r="AZ79" i="1"/>
  <c r="AS79" i="1"/>
  <c r="AN79" i="1"/>
  <c r="V79" i="1"/>
  <c r="O79" i="1"/>
  <c r="M79" i="1"/>
  <c r="K79" i="1"/>
  <c r="BF78" i="1"/>
  <c r="BD78" i="1"/>
  <c r="BC78" i="1"/>
  <c r="BB78" i="1"/>
  <c r="BA78" i="1"/>
  <c r="AZ78" i="1"/>
  <c r="AS78" i="1"/>
  <c r="AN78" i="1"/>
  <c r="V78" i="1"/>
  <c r="O78" i="1"/>
  <c r="N78" i="1"/>
  <c r="M78" i="1"/>
  <c r="L78" i="1"/>
  <c r="K78" i="1"/>
  <c r="H78" i="1"/>
  <c r="BF77" i="1"/>
  <c r="BC77" i="1"/>
  <c r="BA77" i="1"/>
  <c r="AZ77" i="1"/>
  <c r="AS77" i="1"/>
  <c r="BD77" i="1" s="1"/>
  <c r="AN77" i="1"/>
  <c r="V77" i="1"/>
  <c r="O77" i="1"/>
  <c r="M77" i="1"/>
  <c r="L77" i="1"/>
  <c r="N77" i="1" s="1"/>
  <c r="K77" i="1"/>
  <c r="H77" i="1"/>
  <c r="BF76" i="1"/>
  <c r="BC76" i="1"/>
  <c r="BB76" i="1"/>
  <c r="BA76" i="1"/>
  <c r="AZ76" i="1"/>
  <c r="AS76" i="1"/>
  <c r="AN76" i="1"/>
  <c r="V76" i="1"/>
  <c r="O76" i="1"/>
  <c r="N76" i="1"/>
  <c r="M76" i="1"/>
  <c r="L76" i="1"/>
  <c r="K76" i="1"/>
  <c r="H76" i="1"/>
  <c r="BF75" i="1"/>
  <c r="BD75" i="1"/>
  <c r="BC75" i="1"/>
  <c r="BB75" i="1"/>
  <c r="BA75" i="1"/>
  <c r="AZ75" i="1"/>
  <c r="AS75" i="1"/>
  <c r="AN75" i="1"/>
  <c r="V75" i="1"/>
  <c r="O75" i="1"/>
  <c r="N75" i="1"/>
  <c r="M75" i="1"/>
  <c r="L75" i="1"/>
  <c r="K75" i="1"/>
  <c r="H75" i="1"/>
  <c r="BF74" i="1"/>
  <c r="BC74" i="1"/>
  <c r="BD74" i="1" s="1"/>
  <c r="BA74" i="1"/>
  <c r="BB74" i="1" s="1"/>
  <c r="AZ74" i="1"/>
  <c r="AS74" i="1"/>
  <c r="AN74" i="1"/>
  <c r="V74" i="1"/>
  <c r="O74" i="1"/>
  <c r="M74" i="1"/>
  <c r="L74" i="1"/>
  <c r="N74" i="1" s="1"/>
  <c r="K74" i="1"/>
  <c r="H74" i="1"/>
  <c r="BF73" i="1"/>
  <c r="BD73" i="1"/>
  <c r="BC73" i="1"/>
  <c r="BB73" i="1"/>
  <c r="BA73" i="1"/>
  <c r="AZ73" i="1"/>
  <c r="AS73" i="1"/>
  <c r="AN73" i="1"/>
  <c r="V73" i="1"/>
  <c r="O73" i="1"/>
  <c r="N73" i="1"/>
  <c r="M73" i="1"/>
  <c r="L73" i="1"/>
  <c r="K73" i="1"/>
  <c r="J73" i="1"/>
  <c r="H73" i="1"/>
  <c r="BF72" i="1"/>
  <c r="BC72" i="1"/>
  <c r="BA72" i="1"/>
  <c r="AZ72" i="1"/>
  <c r="AS72" i="1"/>
  <c r="BD72" i="1" s="1"/>
  <c r="AN72" i="1"/>
  <c r="V72" i="1"/>
  <c r="O72" i="1"/>
  <c r="M72" i="1"/>
  <c r="L72" i="1"/>
  <c r="N72" i="1" s="1"/>
  <c r="K72" i="1"/>
  <c r="H72" i="1"/>
  <c r="BF71" i="1"/>
  <c r="BC71" i="1"/>
  <c r="BB71" i="1"/>
  <c r="BA71" i="1"/>
  <c r="AZ71" i="1"/>
  <c r="AS71" i="1"/>
  <c r="AN71" i="1"/>
  <c r="V71" i="1"/>
  <c r="O71" i="1"/>
  <c r="N71" i="1"/>
  <c r="M71" i="1"/>
  <c r="L71" i="1"/>
  <c r="K71" i="1"/>
  <c r="J71" i="1"/>
  <c r="BF70" i="1"/>
  <c r="BC70" i="1"/>
  <c r="BA70" i="1"/>
  <c r="AZ70" i="1"/>
  <c r="AS70" i="1"/>
  <c r="BD70" i="1" s="1"/>
  <c r="AN70" i="1"/>
  <c r="V70" i="1"/>
  <c r="O70" i="1"/>
  <c r="N70" i="1"/>
  <c r="M70" i="1"/>
  <c r="L70" i="1"/>
  <c r="K70" i="1"/>
  <c r="BF69" i="1"/>
  <c r="BD69" i="1"/>
  <c r="BC69" i="1"/>
  <c r="BB69" i="1"/>
  <c r="AN69" i="1"/>
  <c r="V69" i="1"/>
  <c r="O69" i="1"/>
  <c r="M69" i="1"/>
  <c r="L69" i="1"/>
  <c r="N69" i="1" s="1"/>
  <c r="K69" i="1"/>
  <c r="H69" i="1"/>
  <c r="BF68" i="1"/>
  <c r="BC68" i="1"/>
  <c r="BB68" i="1"/>
  <c r="BA68" i="1"/>
  <c r="AZ68" i="1"/>
  <c r="AS68" i="1"/>
  <c r="BD68" i="1" s="1"/>
  <c r="AN68" i="1"/>
  <c r="V68" i="1"/>
  <c r="R68" i="1"/>
  <c r="Q68" i="1"/>
  <c r="O68" i="1"/>
  <c r="N68" i="1"/>
  <c r="M68" i="1"/>
  <c r="L68" i="1"/>
  <c r="K68" i="1"/>
  <c r="H68" i="1"/>
  <c r="BF67" i="1"/>
  <c r="BC67" i="1"/>
  <c r="BA67" i="1"/>
  <c r="AZ67" i="1"/>
  <c r="AS67" i="1"/>
  <c r="BD67" i="1" s="1"/>
  <c r="AN67" i="1"/>
  <c r="V67" i="1"/>
  <c r="O67" i="1"/>
  <c r="M67" i="1"/>
  <c r="L67" i="1"/>
  <c r="N67" i="1" s="1"/>
  <c r="K67" i="1"/>
  <c r="BF66" i="1"/>
  <c r="BC66" i="1"/>
  <c r="BA66" i="1"/>
  <c r="BB66" i="1" s="1"/>
  <c r="AZ66" i="1"/>
  <c r="AS66" i="1"/>
  <c r="BD66" i="1" s="1"/>
  <c r="AN66" i="1"/>
  <c r="V66" i="1"/>
  <c r="O66" i="1"/>
  <c r="N66" i="1"/>
  <c r="M66" i="1"/>
  <c r="L66" i="1"/>
  <c r="K66" i="1"/>
  <c r="BF65" i="1"/>
  <c r="BD65" i="1"/>
  <c r="BC65" i="1"/>
  <c r="BB65" i="1"/>
  <c r="BA65" i="1"/>
  <c r="AZ65" i="1"/>
  <c r="AS65" i="1"/>
  <c r="AN65" i="1"/>
  <c r="V65" i="1"/>
  <c r="O65" i="1"/>
  <c r="M65" i="1"/>
  <c r="K65" i="1"/>
  <c r="BF64" i="1"/>
  <c r="BC64" i="1"/>
  <c r="BD64" i="1" s="1"/>
  <c r="BA64" i="1"/>
  <c r="BB64" i="1" s="1"/>
  <c r="AZ64" i="1"/>
  <c r="AS64" i="1"/>
  <c r="AN64" i="1"/>
  <c r="V64" i="1"/>
  <c r="O64" i="1"/>
  <c r="M64" i="1"/>
  <c r="K64" i="1"/>
  <c r="BF63" i="1"/>
  <c r="BC63" i="1"/>
  <c r="BB63" i="1"/>
  <c r="BA63" i="1"/>
  <c r="AZ63" i="1"/>
  <c r="AS63" i="1"/>
  <c r="AN63" i="1"/>
  <c r="V63" i="1"/>
  <c r="P63" i="1"/>
  <c r="O63" i="1"/>
  <c r="M63" i="1"/>
  <c r="F63" i="1"/>
  <c r="L63" i="1" s="1"/>
  <c r="N63" i="1" s="1"/>
  <c r="D63" i="1"/>
  <c r="BF62" i="1"/>
  <c r="BA62" i="1"/>
  <c r="AZ62" i="1"/>
  <c r="AS62" i="1"/>
  <c r="BB62" i="1" s="1"/>
  <c r="AN62" i="1"/>
  <c r="AB62" i="1"/>
  <c r="BC62" i="1" s="1"/>
  <c r="V62" i="1"/>
  <c r="P62" i="1"/>
  <c r="O62" i="1"/>
  <c r="M62" i="1"/>
  <c r="L62" i="1"/>
  <c r="N62" i="1" s="1"/>
  <c r="K62" i="1"/>
  <c r="J62" i="1"/>
  <c r="I62" i="1"/>
  <c r="H62" i="1"/>
  <c r="BF61" i="1"/>
  <c r="BD61" i="1"/>
  <c r="BC61" i="1"/>
  <c r="BB61" i="1"/>
  <c r="BA61" i="1"/>
  <c r="AZ61" i="1"/>
  <c r="AS61" i="1"/>
  <c r="AN61" i="1"/>
  <c r="V61" i="1"/>
  <c r="P61" i="1"/>
  <c r="O61" i="1"/>
  <c r="N61" i="1"/>
  <c r="M61" i="1"/>
  <c r="L61" i="1"/>
  <c r="K61" i="1"/>
  <c r="H61" i="1"/>
  <c r="BF60" i="1"/>
  <c r="BC60" i="1"/>
  <c r="BD60" i="1" s="1"/>
  <c r="BA60" i="1"/>
  <c r="BB60" i="1" s="1"/>
  <c r="AZ60" i="1"/>
  <c r="AS60" i="1"/>
  <c r="AN60" i="1"/>
  <c r="V60" i="1"/>
  <c r="P60" i="1"/>
  <c r="O60" i="1"/>
  <c r="M60" i="1"/>
  <c r="L60" i="1"/>
  <c r="N60" i="1" s="1"/>
  <c r="K60" i="1"/>
  <c r="H60" i="1"/>
  <c r="BF59" i="1"/>
  <c r="BD59" i="1"/>
  <c r="BC59" i="1"/>
  <c r="BB59" i="1"/>
  <c r="BA59" i="1"/>
  <c r="AZ59" i="1"/>
  <c r="AS59" i="1"/>
  <c r="AN59" i="1"/>
  <c r="W59" i="1"/>
  <c r="V59" i="1"/>
  <c r="P59" i="1"/>
  <c r="O59" i="1"/>
  <c r="N59" i="1"/>
  <c r="M59" i="1"/>
  <c r="L59" i="1"/>
  <c r="K59" i="1"/>
  <c r="H59" i="1"/>
  <c r="BF58" i="1"/>
  <c r="BC58" i="1"/>
  <c r="BA58" i="1"/>
  <c r="BB58" i="1" s="1"/>
  <c r="AZ58" i="1"/>
  <c r="AS58" i="1"/>
  <c r="BD58" i="1" s="1"/>
  <c r="AN58" i="1"/>
  <c r="V58" i="1"/>
  <c r="P58" i="1"/>
  <c r="O58" i="1"/>
  <c r="M58" i="1"/>
  <c r="L58" i="1"/>
  <c r="N58" i="1" s="1"/>
  <c r="K58" i="1"/>
  <c r="H58" i="1"/>
  <c r="G58" i="1"/>
  <c r="BE58" i="1" s="1"/>
  <c r="BF57" i="1"/>
  <c r="BC57" i="1"/>
  <c r="BA57" i="1"/>
  <c r="BB57" i="1" s="1"/>
  <c r="AZ57" i="1"/>
  <c r="AS57" i="1"/>
  <c r="AN57" i="1"/>
  <c r="V57" i="1"/>
  <c r="P57" i="1"/>
  <c r="O57" i="1"/>
  <c r="M57" i="1"/>
  <c r="L57" i="1"/>
  <c r="N57" i="1" s="1"/>
  <c r="K57" i="1"/>
  <c r="H57" i="1"/>
  <c r="BF56" i="1"/>
  <c r="BD56" i="1"/>
  <c r="BC56" i="1"/>
  <c r="BB56" i="1"/>
  <c r="BA56" i="1"/>
  <c r="AZ56" i="1"/>
  <c r="AS56" i="1"/>
  <c r="AN56" i="1"/>
  <c r="V56" i="1"/>
  <c r="P56" i="1"/>
  <c r="O56" i="1"/>
  <c r="N56" i="1"/>
  <c r="M56" i="1"/>
  <c r="L56" i="1"/>
  <c r="K56" i="1"/>
  <c r="H56" i="1"/>
  <c r="BF55" i="1"/>
  <c r="BC55" i="1"/>
  <c r="AZ55" i="1"/>
  <c r="AV55" i="1"/>
  <c r="BA55" i="1" s="1"/>
  <c r="BB55" i="1" s="1"/>
  <c r="AS55" i="1"/>
  <c r="BD55" i="1" s="1"/>
  <c r="AO55" i="1"/>
  <c r="AN55" i="1"/>
  <c r="W55" i="1"/>
  <c r="V55" i="1"/>
  <c r="P55" i="1"/>
  <c r="O55" i="1"/>
  <c r="N55" i="1"/>
  <c r="M55" i="1"/>
  <c r="L55" i="1"/>
  <c r="K55" i="1"/>
  <c r="J55" i="1"/>
  <c r="H55" i="1"/>
  <c r="BF54" i="1"/>
  <c r="BC54" i="1"/>
  <c r="BA54" i="1"/>
  <c r="AZ54" i="1"/>
  <c r="AS54" i="1"/>
  <c r="BD54" i="1" s="1"/>
  <c r="AN54" i="1"/>
  <c r="V54" i="1"/>
  <c r="P54" i="1"/>
  <c r="O54" i="1"/>
  <c r="M54" i="1"/>
  <c r="L54" i="1"/>
  <c r="N54" i="1" s="1"/>
  <c r="K54" i="1"/>
  <c r="H54" i="1"/>
  <c r="BF53" i="1"/>
  <c r="BC53" i="1"/>
  <c r="BB53" i="1"/>
  <c r="BA53" i="1"/>
  <c r="AZ53" i="1"/>
  <c r="AS53" i="1"/>
  <c r="BD53" i="1" s="1"/>
  <c r="AN53" i="1"/>
  <c r="V53" i="1"/>
  <c r="O53" i="1"/>
  <c r="N53" i="1"/>
  <c r="M53" i="1"/>
  <c r="L53" i="1"/>
  <c r="K53" i="1"/>
  <c r="J53" i="1"/>
  <c r="H53" i="1"/>
  <c r="BF52" i="1"/>
  <c r="BD52" i="1"/>
  <c r="BC52" i="1"/>
  <c r="BA52" i="1"/>
  <c r="AZ52" i="1"/>
  <c r="AS52" i="1"/>
  <c r="BB52" i="1" s="1"/>
  <c r="AN52" i="1"/>
  <c r="V52" i="1"/>
  <c r="O52" i="1"/>
  <c r="M52" i="1"/>
  <c r="I52" i="1"/>
  <c r="H52" i="1"/>
  <c r="BF51" i="1"/>
  <c r="BC51" i="1"/>
  <c r="BB51" i="1"/>
  <c r="BA51" i="1"/>
  <c r="AZ51" i="1"/>
  <c r="AS51" i="1"/>
  <c r="BD51" i="1" s="1"/>
  <c r="AN51" i="1"/>
  <c r="W51" i="1"/>
  <c r="V51" i="1"/>
  <c r="O51" i="1"/>
  <c r="N51" i="1"/>
  <c r="M51" i="1"/>
  <c r="L51" i="1"/>
  <c r="J51" i="1"/>
  <c r="I51" i="1"/>
  <c r="K51" i="1" s="1"/>
  <c r="H51" i="1"/>
  <c r="BF50" i="1"/>
  <c r="BC50" i="1"/>
  <c r="BA50" i="1"/>
  <c r="AZ50" i="1"/>
  <c r="AS50" i="1"/>
  <c r="AN50" i="1"/>
  <c r="W50" i="1"/>
  <c r="V50" i="1"/>
  <c r="O50" i="1"/>
  <c r="M50" i="1"/>
  <c r="L50" i="1"/>
  <c r="N50" i="1" s="1"/>
  <c r="K50" i="1"/>
  <c r="I50" i="1"/>
  <c r="H50" i="1"/>
  <c r="BF49" i="1"/>
  <c r="BD49" i="1"/>
  <c r="BC49" i="1"/>
  <c r="BB49" i="1"/>
  <c r="BA49" i="1"/>
  <c r="AZ49" i="1"/>
  <c r="AS49" i="1"/>
  <c r="AN49" i="1"/>
  <c r="V49" i="1"/>
  <c r="O49" i="1"/>
  <c r="M49" i="1"/>
  <c r="K49" i="1"/>
  <c r="J49" i="1"/>
  <c r="L49" i="1" s="1"/>
  <c r="N49" i="1" s="1"/>
  <c r="H49" i="1"/>
  <c r="BF48" i="1"/>
  <c r="BC48" i="1"/>
  <c r="BA48" i="1"/>
  <c r="BB48" i="1" s="1"/>
  <c r="AZ48" i="1"/>
  <c r="AS48" i="1"/>
  <c r="AN48" i="1"/>
  <c r="V48" i="1"/>
  <c r="O48" i="1"/>
  <c r="M48" i="1"/>
  <c r="L48" i="1"/>
  <c r="N48" i="1" s="1"/>
  <c r="K48" i="1"/>
  <c r="I48" i="1"/>
  <c r="H48" i="1"/>
  <c r="BF47" i="1"/>
  <c r="BC47" i="1"/>
  <c r="AZ47" i="1"/>
  <c r="AS47" i="1"/>
  <c r="AN47" i="1"/>
  <c r="V47" i="1"/>
  <c r="O47" i="1"/>
  <c r="N47" i="1"/>
  <c r="M47" i="1"/>
  <c r="L47" i="1"/>
  <c r="J47" i="1"/>
  <c r="H47" i="1"/>
  <c r="BF46" i="1"/>
  <c r="BC46" i="1"/>
  <c r="BA46" i="1"/>
  <c r="AZ46" i="1"/>
  <c r="AS46" i="1"/>
  <c r="BD46" i="1" s="1"/>
  <c r="AN46" i="1"/>
  <c r="V46" i="1"/>
  <c r="O46" i="1"/>
  <c r="M46" i="1"/>
  <c r="J46" i="1"/>
  <c r="L46" i="1" s="1"/>
  <c r="N46" i="1" s="1"/>
  <c r="H46" i="1"/>
  <c r="BF45" i="1"/>
  <c r="BC45" i="1"/>
  <c r="BB45" i="1"/>
  <c r="BA45" i="1"/>
  <c r="AZ45" i="1"/>
  <c r="AS45" i="1"/>
  <c r="AN45" i="1"/>
  <c r="V45" i="1"/>
  <c r="O45" i="1"/>
  <c r="N45" i="1"/>
  <c r="M45" i="1"/>
  <c r="L45" i="1"/>
  <c r="J45" i="1"/>
  <c r="H45" i="1"/>
  <c r="BF44" i="1"/>
  <c r="BD44" i="1"/>
  <c r="BC44" i="1"/>
  <c r="BA44" i="1"/>
  <c r="BB44" i="1" s="1"/>
  <c r="AZ44" i="1"/>
  <c r="AS44" i="1"/>
  <c r="AN44" i="1"/>
  <c r="V44" i="1"/>
  <c r="O44" i="1"/>
  <c r="M44" i="1"/>
  <c r="L44" i="1"/>
  <c r="N44" i="1" s="1"/>
  <c r="I44" i="1"/>
  <c r="H44" i="1"/>
  <c r="BF43" i="1"/>
  <c r="BD43" i="1"/>
  <c r="BC43" i="1"/>
  <c r="BB43" i="1"/>
  <c r="BA43" i="1"/>
  <c r="AZ43" i="1"/>
  <c r="AS43" i="1"/>
  <c r="AN43" i="1"/>
  <c r="V43" i="1"/>
  <c r="O43" i="1"/>
  <c r="N43" i="1"/>
  <c r="M43" i="1"/>
  <c r="L43" i="1"/>
  <c r="J43" i="1"/>
  <c r="BF42" i="1"/>
  <c r="BC42" i="1"/>
  <c r="BA42" i="1"/>
  <c r="AZ42" i="1"/>
  <c r="AS42" i="1"/>
  <c r="BD42" i="1" s="1"/>
  <c r="AN42" i="1"/>
  <c r="V42" i="1"/>
  <c r="O42" i="1"/>
  <c r="M42" i="1"/>
  <c r="L42" i="1"/>
  <c r="N42" i="1" s="1"/>
  <c r="BF41" i="1"/>
  <c r="BC41" i="1"/>
  <c r="BA41" i="1"/>
  <c r="BB41" i="1" s="1"/>
  <c r="AZ41" i="1"/>
  <c r="AS41" i="1"/>
  <c r="AN41" i="1"/>
  <c r="V41" i="1"/>
  <c r="O41" i="1"/>
  <c r="M41" i="1"/>
  <c r="L41" i="1"/>
  <c r="N41" i="1" s="1"/>
  <c r="K41" i="1"/>
  <c r="H41" i="1"/>
  <c r="BF40" i="1"/>
  <c r="BC40" i="1"/>
  <c r="BB40" i="1"/>
  <c r="BA40" i="1"/>
  <c r="AZ40" i="1"/>
  <c r="AS40" i="1"/>
  <c r="AN40" i="1"/>
  <c r="V40" i="1"/>
  <c r="O40" i="1"/>
  <c r="M40" i="1"/>
  <c r="H40" i="1"/>
  <c r="BF39" i="1"/>
  <c r="BC39" i="1"/>
  <c r="AV39" i="1"/>
  <c r="AU39" i="1"/>
  <c r="AT39" i="1"/>
  <c r="BA39" i="1" s="1"/>
  <c r="BB39" i="1" s="1"/>
  <c r="AS39" i="1"/>
  <c r="AO39" i="1"/>
  <c r="AN39" i="1"/>
  <c r="V39" i="1"/>
  <c r="O39" i="1"/>
  <c r="N39" i="1"/>
  <c r="M39" i="1"/>
  <c r="I39" i="1"/>
  <c r="L39" i="1" s="1"/>
  <c r="H39" i="1"/>
  <c r="BF38" i="1"/>
  <c r="BC38" i="1"/>
  <c r="BA38" i="1"/>
  <c r="BB38" i="1" s="1"/>
  <c r="AV38" i="1"/>
  <c r="AU38" i="1"/>
  <c r="AT38" i="1"/>
  <c r="AZ38" i="1" s="1"/>
  <c r="AS38" i="1"/>
  <c r="BD38" i="1" s="1"/>
  <c r="AO38" i="1"/>
  <c r="AN38" i="1"/>
  <c r="V38" i="1"/>
  <c r="O38" i="1"/>
  <c r="M38" i="1"/>
  <c r="I38" i="1"/>
  <c r="L38" i="1" s="1"/>
  <c r="N38" i="1" s="1"/>
  <c r="H38" i="1"/>
  <c r="BF37" i="1"/>
  <c r="BC37" i="1"/>
  <c r="BA37" i="1"/>
  <c r="BB37" i="1" s="1"/>
  <c r="AZ37" i="1"/>
  <c r="AS37" i="1"/>
  <c r="BD37" i="1" s="1"/>
  <c r="AN37" i="1"/>
  <c r="V37" i="1"/>
  <c r="O37" i="1"/>
  <c r="M37" i="1"/>
  <c r="I37" i="1"/>
  <c r="L37" i="1" s="1"/>
  <c r="N37" i="1" s="1"/>
  <c r="H37" i="1"/>
  <c r="BF36" i="1"/>
  <c r="BC36" i="1"/>
  <c r="BD36" i="1" s="1"/>
  <c r="BA36" i="1"/>
  <c r="BB36" i="1" s="1"/>
  <c r="AZ36" i="1"/>
  <c r="AS36" i="1"/>
  <c r="AN36" i="1"/>
  <c r="V36" i="1"/>
  <c r="O36" i="1"/>
  <c r="M36" i="1"/>
  <c r="K36" i="1"/>
  <c r="J36" i="1"/>
  <c r="L36" i="1" s="1"/>
  <c r="N36" i="1" s="1"/>
  <c r="H36" i="1"/>
  <c r="BF35" i="1"/>
  <c r="BC35" i="1"/>
  <c r="BA35" i="1"/>
  <c r="BB35" i="1" s="1"/>
  <c r="AZ35" i="1"/>
  <c r="AS35" i="1"/>
  <c r="BD35" i="1" s="1"/>
  <c r="AN35" i="1"/>
  <c r="V35" i="1"/>
  <c r="O35" i="1"/>
  <c r="M35" i="1"/>
  <c r="K35" i="1"/>
  <c r="I35" i="1"/>
  <c r="L35" i="1" s="1"/>
  <c r="N35" i="1" s="1"/>
  <c r="H35" i="1"/>
  <c r="BF34" i="1"/>
  <c r="BC34" i="1"/>
  <c r="BA34" i="1"/>
  <c r="BB34" i="1" s="1"/>
  <c r="AZ34" i="1"/>
  <c r="AS34" i="1"/>
  <c r="AN34" i="1"/>
  <c r="V34" i="1"/>
  <c r="O34" i="1"/>
  <c r="N34" i="1"/>
  <c r="M34" i="1"/>
  <c r="K34" i="1"/>
  <c r="J34" i="1"/>
  <c r="L34" i="1" s="1"/>
  <c r="H34" i="1"/>
  <c r="BF33" i="1"/>
  <c r="BC33" i="1"/>
  <c r="BB33" i="1"/>
  <c r="BA33" i="1"/>
  <c r="AZ33" i="1"/>
  <c r="AS33" i="1"/>
  <c r="BD33" i="1" s="1"/>
  <c r="AN33" i="1"/>
  <c r="V33" i="1"/>
  <c r="O33" i="1"/>
  <c r="N33" i="1"/>
  <c r="M33" i="1"/>
  <c r="L33" i="1"/>
  <c r="K33" i="1"/>
  <c r="H33" i="1"/>
  <c r="BF32" i="1"/>
  <c r="BD32" i="1"/>
  <c r="BC32" i="1"/>
  <c r="BA32" i="1"/>
  <c r="BB32" i="1" s="1"/>
  <c r="AZ32" i="1"/>
  <c r="AS32" i="1"/>
  <c r="AN32" i="1"/>
  <c r="V32" i="1"/>
  <c r="O32" i="1"/>
  <c r="M32" i="1"/>
  <c r="K32" i="1"/>
  <c r="BF31" i="1"/>
  <c r="BD31" i="1"/>
  <c r="BC31" i="1"/>
  <c r="BA31" i="1"/>
  <c r="AZ31" i="1"/>
  <c r="AS31" i="1"/>
  <c r="AN31" i="1"/>
  <c r="V31" i="1"/>
  <c r="O31" i="1"/>
  <c r="M31" i="1"/>
  <c r="K31" i="1"/>
  <c r="J31" i="1"/>
  <c r="L31" i="1" s="1"/>
  <c r="N31" i="1" s="1"/>
  <c r="H31" i="1"/>
  <c r="BF30" i="1"/>
  <c r="BC30" i="1"/>
  <c r="BD30" i="1" s="1"/>
  <c r="BA30" i="1"/>
  <c r="BB30" i="1" s="1"/>
  <c r="AZ30" i="1"/>
  <c r="AS30" i="1"/>
  <c r="AN30" i="1"/>
  <c r="V30" i="1"/>
  <c r="O30" i="1"/>
  <c r="M30" i="1"/>
  <c r="H30" i="1"/>
  <c r="BF29" i="1"/>
  <c r="BC29" i="1"/>
  <c r="BA29" i="1"/>
  <c r="BB29" i="1" s="1"/>
  <c r="AZ29" i="1"/>
  <c r="AS29" i="1"/>
  <c r="AN29" i="1"/>
  <c r="V29" i="1"/>
  <c r="O29" i="1"/>
  <c r="M29" i="1"/>
  <c r="H29" i="1"/>
  <c r="BF28" i="1"/>
  <c r="BD28" i="1"/>
  <c r="BC28" i="1"/>
  <c r="BE28" i="1" s="1"/>
  <c r="BA28" i="1"/>
  <c r="BB28" i="1" s="1"/>
  <c r="AZ28" i="1"/>
  <c r="AS28" i="1"/>
  <c r="AN28" i="1"/>
  <c r="V28" i="1"/>
  <c r="G28" i="1"/>
  <c r="F28" i="1"/>
  <c r="L28" i="1" s="1"/>
  <c r="N28" i="1" s="1"/>
  <c r="E28" i="1"/>
  <c r="O28" i="1" s="1"/>
  <c r="D28" i="1"/>
  <c r="H28" i="1" s="1"/>
  <c r="BF27" i="1"/>
  <c r="BC27" i="1"/>
  <c r="BA27" i="1"/>
  <c r="BB27" i="1" s="1"/>
  <c r="AZ27" i="1"/>
  <c r="AS27" i="1"/>
  <c r="BD27" i="1" s="1"/>
  <c r="AN27" i="1"/>
  <c r="V27" i="1"/>
  <c r="O27" i="1"/>
  <c r="M27" i="1"/>
  <c r="L27" i="1"/>
  <c r="N27" i="1" s="1"/>
  <c r="K27" i="1"/>
  <c r="H27" i="1"/>
  <c r="BF26" i="1"/>
  <c r="BC26" i="1"/>
  <c r="BB26" i="1"/>
  <c r="BA26" i="1"/>
  <c r="AZ26" i="1"/>
  <c r="AS26" i="1"/>
  <c r="AN26" i="1"/>
  <c r="AB26" i="1"/>
  <c r="V26" i="1"/>
  <c r="O26" i="1"/>
  <c r="M26" i="1"/>
  <c r="L26" i="1"/>
  <c r="N26" i="1" s="1"/>
  <c r="K26" i="1"/>
  <c r="H26" i="1"/>
  <c r="BF25" i="1"/>
  <c r="BC25" i="1"/>
  <c r="BA25" i="1"/>
  <c r="AZ25" i="1"/>
  <c r="AS25" i="1"/>
  <c r="BD25" i="1" s="1"/>
  <c r="AN25" i="1"/>
  <c r="V25" i="1"/>
  <c r="O25" i="1"/>
  <c r="M25" i="1"/>
  <c r="L25" i="1"/>
  <c r="N25" i="1" s="1"/>
  <c r="K25" i="1"/>
  <c r="H25" i="1"/>
  <c r="BF24" i="1"/>
  <c r="BC24" i="1"/>
  <c r="BA24" i="1"/>
  <c r="BB24" i="1" s="1"/>
  <c r="AZ24" i="1"/>
  <c r="AS24" i="1"/>
  <c r="BD24" i="1" s="1"/>
  <c r="AN24" i="1"/>
  <c r="V24" i="1"/>
  <c r="O24" i="1"/>
  <c r="M24" i="1"/>
  <c r="L24" i="1"/>
  <c r="N24" i="1" s="1"/>
  <c r="K24" i="1"/>
  <c r="H24" i="1"/>
  <c r="BF23" i="1"/>
  <c r="BC23" i="1"/>
  <c r="BA23" i="1"/>
  <c r="BB23" i="1" s="1"/>
  <c r="AZ23" i="1"/>
  <c r="AS23" i="1"/>
  <c r="AN23" i="1"/>
  <c r="AB23" i="1"/>
  <c r="V23" i="1"/>
  <c r="O23" i="1"/>
  <c r="N23" i="1"/>
  <c r="M23" i="1"/>
  <c r="L23" i="1"/>
  <c r="K23" i="1"/>
  <c r="H23" i="1"/>
  <c r="BF22" i="1"/>
  <c r="BC22" i="1"/>
  <c r="BD22" i="1" s="1"/>
  <c r="BA22" i="1"/>
  <c r="BB22" i="1" s="1"/>
  <c r="AZ22" i="1"/>
  <c r="AS22" i="1"/>
  <c r="AN22" i="1"/>
  <c r="AB22" i="1"/>
  <c r="V22" i="1"/>
  <c r="O22" i="1"/>
  <c r="M22" i="1"/>
  <c r="K22" i="1"/>
  <c r="J22" i="1"/>
  <c r="L22" i="1" s="1"/>
  <c r="N22" i="1" s="1"/>
  <c r="H22" i="1"/>
  <c r="BF21" i="1"/>
  <c r="BC21" i="1"/>
  <c r="BB21" i="1"/>
  <c r="BA21" i="1"/>
  <c r="AZ21" i="1"/>
  <c r="AS21" i="1"/>
  <c r="AN21" i="1"/>
  <c r="V21" i="1"/>
  <c r="O21" i="1"/>
  <c r="M21" i="1"/>
  <c r="L21" i="1"/>
  <c r="N21" i="1" s="1"/>
  <c r="K21" i="1"/>
  <c r="H21" i="1"/>
  <c r="BF20" i="1"/>
  <c r="BD20" i="1"/>
  <c r="BC20" i="1"/>
  <c r="BA20" i="1"/>
  <c r="BB20" i="1" s="1"/>
  <c r="AZ20" i="1"/>
  <c r="AS20" i="1"/>
  <c r="AN20" i="1"/>
  <c r="V20" i="1"/>
  <c r="O20" i="1"/>
  <c r="M20" i="1"/>
  <c r="J20" i="1"/>
  <c r="L20" i="1" s="1"/>
  <c r="N20" i="1" s="1"/>
  <c r="H20" i="1"/>
  <c r="BF19" i="1"/>
  <c r="BA19" i="1"/>
  <c r="AZ19" i="1"/>
  <c r="AS19" i="1"/>
  <c r="BB19" i="1" s="1"/>
  <c r="AN19" i="1"/>
  <c r="AB19" i="1"/>
  <c r="BC19" i="1" s="1"/>
  <c r="V19" i="1"/>
  <c r="O19" i="1"/>
  <c r="M19" i="1"/>
  <c r="L19" i="1"/>
  <c r="N19" i="1" s="1"/>
  <c r="H19" i="1"/>
  <c r="BF18" i="1"/>
  <c r="BD18" i="1"/>
  <c r="BC18" i="1"/>
  <c r="BA18" i="1"/>
  <c r="BB18" i="1" s="1"/>
  <c r="AZ18" i="1"/>
  <c r="AS18" i="1"/>
  <c r="AN18" i="1"/>
  <c r="V18" i="1"/>
  <c r="O18" i="1"/>
  <c r="M18" i="1"/>
  <c r="J18" i="1"/>
  <c r="L18" i="1" s="1"/>
  <c r="N18" i="1" s="1"/>
  <c r="H18" i="1"/>
  <c r="BF17" i="1"/>
  <c r="BC17" i="1"/>
  <c r="BA17" i="1"/>
  <c r="AZ17" i="1"/>
  <c r="AS17" i="1"/>
  <c r="BD17" i="1" s="1"/>
  <c r="AN17" i="1"/>
  <c r="V17" i="1"/>
  <c r="O17" i="1"/>
  <c r="M17" i="1"/>
  <c r="L17" i="1"/>
  <c r="N17" i="1" s="1"/>
  <c r="H17" i="1"/>
  <c r="BF16" i="1"/>
  <c r="BC16" i="1"/>
  <c r="BB16" i="1"/>
  <c r="BA16" i="1"/>
  <c r="AZ16" i="1"/>
  <c r="AS16" i="1"/>
  <c r="AN16" i="1"/>
  <c r="AE16" i="1"/>
  <c r="AB16" i="1"/>
  <c r="V16" i="1"/>
  <c r="O16" i="1"/>
  <c r="M16" i="1"/>
  <c r="J16" i="1"/>
  <c r="I16" i="1"/>
  <c r="L16" i="1" s="1"/>
  <c r="N16" i="1" s="1"/>
  <c r="H16" i="1"/>
  <c r="BF15" i="1"/>
  <c r="BB15" i="1"/>
  <c r="BA15" i="1"/>
  <c r="AZ15" i="1"/>
  <c r="AS15" i="1"/>
  <c r="AN15" i="1"/>
  <c r="AE15" i="1"/>
  <c r="AB15" i="1"/>
  <c r="BC15" i="1" s="1"/>
  <c r="V15" i="1"/>
  <c r="O15" i="1"/>
  <c r="M15" i="1"/>
  <c r="L15" i="1"/>
  <c r="N15" i="1" s="1"/>
  <c r="K15" i="1"/>
  <c r="H15" i="1"/>
  <c r="BF14" i="1"/>
  <c r="BC14" i="1"/>
  <c r="BA14" i="1"/>
  <c r="BB14" i="1" s="1"/>
  <c r="AZ14" i="1"/>
  <c r="AS14" i="1"/>
  <c r="BD14" i="1" s="1"/>
  <c r="AN14" i="1"/>
  <c r="AB14" i="1"/>
  <c r="V14" i="1"/>
  <c r="O14" i="1"/>
  <c r="M14" i="1"/>
  <c r="L14" i="1"/>
  <c r="N14" i="1" s="1"/>
  <c r="K14" i="1"/>
  <c r="J14" i="1"/>
  <c r="H14" i="1"/>
  <c r="BF13" i="1"/>
  <c r="BD13" i="1"/>
  <c r="BC13" i="1"/>
  <c r="BA13" i="1"/>
  <c r="BB13" i="1" s="1"/>
  <c r="AZ13" i="1"/>
  <c r="AS13" i="1"/>
  <c r="AN13" i="1"/>
  <c r="V13" i="1"/>
  <c r="O13" i="1"/>
  <c r="M13" i="1"/>
  <c r="I13" i="1"/>
  <c r="L13" i="1" s="1"/>
  <c r="N13" i="1" s="1"/>
  <c r="H13" i="1"/>
  <c r="D13" i="1"/>
  <c r="P13" i="1" s="1"/>
  <c r="BF12" i="1"/>
  <c r="BC12" i="1"/>
  <c r="BD12" i="1" s="1"/>
  <c r="BA12" i="1"/>
  <c r="BB12" i="1" s="1"/>
  <c r="AZ12" i="1"/>
  <c r="AS12" i="1"/>
  <c r="AN12" i="1"/>
  <c r="V12" i="1"/>
  <c r="O12" i="1"/>
  <c r="M12" i="1"/>
  <c r="L12" i="1"/>
  <c r="N12" i="1" s="1"/>
  <c r="K12" i="1"/>
  <c r="J12" i="1"/>
  <c r="H12" i="1"/>
  <c r="BF11" i="1"/>
  <c r="BD11" i="1"/>
  <c r="BC11" i="1"/>
  <c r="BA11" i="1"/>
  <c r="BB11" i="1" s="1"/>
  <c r="AZ11" i="1"/>
  <c r="AS11" i="1"/>
  <c r="AN11" i="1"/>
  <c r="V11" i="1"/>
  <c r="O11" i="1"/>
  <c r="M11" i="1"/>
  <c r="L11" i="1"/>
  <c r="N11" i="1" s="1"/>
  <c r="K11" i="1"/>
  <c r="H11" i="1"/>
  <c r="BF10" i="1"/>
  <c r="BC10" i="1"/>
  <c r="AZ10" i="1"/>
  <c r="AS10" i="1"/>
  <c r="BD10" i="1" s="1"/>
  <c r="AN10" i="1"/>
  <c r="V10" i="1"/>
  <c r="O10" i="1"/>
  <c r="M10" i="1"/>
  <c r="K10" i="1"/>
  <c r="J10" i="1"/>
  <c r="L10" i="1" s="1"/>
  <c r="N10" i="1" s="1"/>
  <c r="H10" i="1"/>
  <c r="BF9" i="1"/>
  <c r="BC9" i="1"/>
  <c r="BB9" i="1"/>
  <c r="BA9" i="1"/>
  <c r="AZ9" i="1"/>
  <c r="AS9" i="1"/>
  <c r="AN9" i="1"/>
  <c r="AB9" i="1"/>
  <c r="V9" i="1"/>
  <c r="O9" i="1"/>
  <c r="N9" i="1"/>
  <c r="M9" i="1"/>
  <c r="L9" i="1"/>
  <c r="K9" i="1"/>
  <c r="H9" i="1"/>
  <c r="BF8" i="1"/>
  <c r="BC8" i="1"/>
  <c r="BD8" i="1" s="1"/>
  <c r="BA8" i="1"/>
  <c r="BB8" i="1" s="1"/>
  <c r="AZ8" i="1"/>
  <c r="AS8" i="1"/>
  <c r="AN8" i="1"/>
  <c r="V8" i="1"/>
  <c r="O8" i="1"/>
  <c r="L8" i="1"/>
  <c r="N8" i="1" s="1"/>
  <c r="K8" i="1"/>
  <c r="H8" i="1"/>
  <c r="D8" i="1"/>
  <c r="G8" i="1" s="1"/>
  <c r="BE8" i="1" s="1"/>
  <c r="BF7" i="1"/>
  <c r="BC7" i="1"/>
  <c r="BD7" i="1" s="1"/>
  <c r="BA7" i="1"/>
  <c r="BB7" i="1" s="1"/>
  <c r="AZ7" i="1"/>
  <c r="AS7" i="1"/>
  <c r="AN7" i="1"/>
  <c r="V7" i="1"/>
  <c r="O7" i="1"/>
  <c r="M7" i="1"/>
  <c r="L7" i="1"/>
  <c r="N7" i="1" s="1"/>
  <c r="K7" i="1"/>
  <c r="F7" i="1"/>
  <c r="H7" i="1" s="1"/>
  <c r="BF6" i="1"/>
  <c r="BD6" i="1"/>
  <c r="BC6" i="1"/>
  <c r="BA6" i="1"/>
  <c r="BB6" i="1" s="1"/>
  <c r="AZ6" i="1"/>
  <c r="AS6" i="1"/>
  <c r="AN6" i="1"/>
  <c r="AB6" i="1"/>
  <c r="V6" i="1"/>
  <c r="O6" i="1"/>
  <c r="M6" i="1"/>
  <c r="K6" i="1"/>
  <c r="J6" i="1"/>
  <c r="L6" i="1" s="1"/>
  <c r="N6" i="1" s="1"/>
  <c r="H6" i="1"/>
  <c r="BF5" i="1"/>
  <c r="BC5" i="1"/>
  <c r="BA5" i="1"/>
  <c r="BB5" i="1" s="1"/>
  <c r="AZ5" i="1"/>
  <c r="AS5" i="1"/>
  <c r="AN5" i="1"/>
  <c r="AB5" i="1"/>
  <c r="V5" i="1"/>
  <c r="O5" i="1"/>
  <c r="M5" i="1"/>
  <c r="K5" i="1"/>
  <c r="I5" i="1"/>
  <c r="L5" i="1" s="1"/>
  <c r="N5" i="1" s="1"/>
  <c r="H5" i="1"/>
  <c r="BF4" i="1"/>
  <c r="AZ4" i="1"/>
  <c r="AS4" i="1"/>
  <c r="BB4" i="1" s="1"/>
  <c r="AN4" i="1"/>
  <c r="AE4" i="1"/>
  <c r="BC4" i="1" s="1"/>
  <c r="V4" i="1"/>
  <c r="P4" i="1"/>
  <c r="O4" i="1"/>
  <c r="M4" i="1"/>
  <c r="K4" i="1"/>
  <c r="J4" i="1"/>
  <c r="L4" i="1" s="1"/>
  <c r="N4" i="1" s="1"/>
  <c r="H4" i="1"/>
  <c r="G4" i="1"/>
  <c r="BF3" i="1"/>
  <c r="BC3" i="1"/>
  <c r="BA3" i="1"/>
  <c r="BB3" i="1" s="1"/>
  <c r="AZ3" i="1"/>
  <c r="AS3" i="1"/>
  <c r="AN3" i="1"/>
  <c r="AB3" i="1"/>
  <c r="V3" i="1"/>
  <c r="O3" i="1"/>
  <c r="N3" i="1"/>
  <c r="M3" i="1"/>
  <c r="L3" i="1"/>
  <c r="K3" i="1"/>
  <c r="H3" i="1"/>
  <c r="D3" i="1"/>
  <c r="G3" i="1" s="1"/>
  <c r="G13" i="1" l="1"/>
  <c r="BE13" i="1" s="1"/>
  <c r="D26" i="1"/>
  <c r="G26" i="1" s="1"/>
  <c r="BE26" i="1" s="1"/>
  <c r="D32" i="1"/>
  <c r="G32" i="1" s="1"/>
  <c r="BE32" i="1" s="1"/>
  <c r="D55" i="1"/>
  <c r="G55" i="1" s="1"/>
  <c r="BE55" i="1" s="1"/>
  <c r="D11" i="1"/>
  <c r="G11" i="1" s="1"/>
  <c r="BD19" i="1"/>
  <c r="BE3" i="1"/>
  <c r="BE11" i="1"/>
  <c r="BE4" i="1"/>
  <c r="BD4" i="1"/>
  <c r="BE15" i="1"/>
  <c r="BD15" i="1"/>
  <c r="P11" i="1"/>
  <c r="P15" i="1"/>
  <c r="P26" i="1"/>
  <c r="P28" i="1"/>
  <c r="BE89" i="1"/>
  <c r="BD89" i="1"/>
  <c r="BE121" i="1"/>
  <c r="BD121" i="1"/>
  <c r="D78" i="1"/>
  <c r="D73" i="1"/>
  <c r="D80" i="1"/>
  <c r="D75" i="1"/>
  <c r="D65" i="1"/>
  <c r="D61" i="1"/>
  <c r="G61" i="1" s="1"/>
  <c r="BE61" i="1" s="1"/>
  <c r="D70" i="1"/>
  <c r="D69" i="1"/>
  <c r="D67" i="1"/>
  <c r="D54" i="1"/>
  <c r="G54" i="1" s="1"/>
  <c r="BE54" i="1" s="1"/>
  <c r="D52" i="1"/>
  <c r="D82" i="1"/>
  <c r="D77" i="1"/>
  <c r="D72" i="1"/>
  <c r="D46" i="1"/>
  <c r="D44" i="1"/>
  <c r="K44" i="1" s="1"/>
  <c r="D33" i="1"/>
  <c r="D31" i="1"/>
  <c r="F79" i="1"/>
  <c r="L79" i="1" s="1"/>
  <c r="N79" i="1" s="1"/>
  <c r="D74" i="1"/>
  <c r="F64" i="1"/>
  <c r="L64" i="1" s="1"/>
  <c r="N64" i="1" s="1"/>
  <c r="D60" i="1"/>
  <c r="G60" i="1" s="1"/>
  <c r="BE60" i="1" s="1"/>
  <c r="D37" i="1"/>
  <c r="D35" i="1"/>
  <c r="I30" i="1"/>
  <c r="D79" i="1"/>
  <c r="D66" i="1"/>
  <c r="D64" i="1"/>
  <c r="D57" i="1"/>
  <c r="G57" i="1" s="1"/>
  <c r="BE57" i="1" s="1"/>
  <c r="D50" i="1"/>
  <c r="D48" i="1"/>
  <c r="D41" i="1"/>
  <c r="D81" i="1"/>
  <c r="D76" i="1"/>
  <c r="D62" i="1"/>
  <c r="G62" i="1" s="1"/>
  <c r="BE62" i="1" s="1"/>
  <c r="D53" i="1"/>
  <c r="D5" i="1"/>
  <c r="D9" i="1"/>
  <c r="BD16" i="1"/>
  <c r="BD26" i="1"/>
  <c r="F32" i="1"/>
  <c r="I40" i="1"/>
  <c r="D45" i="1"/>
  <c r="BB46" i="1"/>
  <c r="BD47" i="1"/>
  <c r="D49" i="1"/>
  <c r="D51" i="1"/>
  <c r="BE117" i="1"/>
  <c r="BD117" i="1"/>
  <c r="P3" i="1"/>
  <c r="BD9" i="1"/>
  <c r="K16" i="1"/>
  <c r="BB17" i="1"/>
  <c r="D23" i="1"/>
  <c r="BD29" i="1"/>
  <c r="AZ39" i="1"/>
  <c r="BB42" i="1"/>
  <c r="D56" i="1"/>
  <c r="G56" i="1" s="1"/>
  <c r="BE56" i="1" s="1"/>
  <c r="D59" i="1"/>
  <c r="G59" i="1" s="1"/>
  <c r="BE59" i="1" s="1"/>
  <c r="BB67" i="1"/>
  <c r="BD76" i="1"/>
  <c r="BD3" i="1"/>
  <c r="BD5" i="1"/>
  <c r="D7" i="1"/>
  <c r="BB10" i="1"/>
  <c r="D12" i="1"/>
  <c r="K13" i="1"/>
  <c r="D14" i="1"/>
  <c r="D19" i="1"/>
  <c r="D21" i="1"/>
  <c r="BD21" i="1"/>
  <c r="BD23" i="1"/>
  <c r="BB25" i="1"/>
  <c r="K28" i="1"/>
  <c r="D29" i="1"/>
  <c r="BB31" i="1"/>
  <c r="D34" i="1"/>
  <c r="BD34" i="1"/>
  <c r="K37" i="1"/>
  <c r="D39" i="1"/>
  <c r="K63" i="1"/>
  <c r="H63" i="1"/>
  <c r="G63" i="1"/>
  <c r="BE63" i="1" s="1"/>
  <c r="BB70" i="1"/>
  <c r="BD71" i="1"/>
  <c r="BE100" i="1"/>
  <c r="BD100" i="1"/>
  <c r="D17" i="1"/>
  <c r="D27" i="1"/>
  <c r="BD41" i="1"/>
  <c r="BD50" i="1"/>
  <c r="BB50" i="1"/>
  <c r="BB54" i="1"/>
  <c r="F65" i="1"/>
  <c r="L65" i="1" s="1"/>
  <c r="N65" i="1" s="1"/>
  <c r="BE114" i="1"/>
  <c r="BD114" i="1"/>
  <c r="D10" i="1"/>
  <c r="D16" i="1"/>
  <c r="M28" i="1"/>
  <c r="D30" i="1"/>
  <c r="BD40" i="1"/>
  <c r="D47" i="1"/>
  <c r="L52" i="1"/>
  <c r="N52" i="1" s="1"/>
  <c r="K52" i="1"/>
  <c r="BD62" i="1"/>
  <c r="D68" i="1"/>
  <c r="BE87" i="1"/>
  <c r="BE96" i="1"/>
  <c r="BD96" i="1"/>
  <c r="D6" i="1"/>
  <c r="P8" i="1"/>
  <c r="D22" i="1"/>
  <c r="D24" i="1"/>
  <c r="I29" i="1"/>
  <c r="D36" i="1"/>
  <c r="D40" i="1"/>
  <c r="D42" i="1"/>
  <c r="BD45" i="1"/>
  <c r="D71" i="1"/>
  <c r="BD81" i="1"/>
  <c r="BE90" i="1"/>
  <c r="BD90" i="1"/>
  <c r="BE107" i="1"/>
  <c r="BD107" i="1"/>
  <c r="BB115" i="1"/>
  <c r="BE124" i="1"/>
  <c r="D18" i="1"/>
  <c r="D20" i="1"/>
  <c r="D25" i="1"/>
  <c r="D38" i="1"/>
  <c r="D43" i="1"/>
  <c r="BE86" i="1"/>
  <c r="BD86" i="1"/>
  <c r="BE128" i="1"/>
  <c r="BD128" i="1"/>
  <c r="BD57" i="1"/>
  <c r="BB72" i="1"/>
  <c r="BB77" i="1"/>
  <c r="BB91" i="1"/>
  <c r="BB95" i="1"/>
  <c r="BB101" i="1"/>
  <c r="BB105" i="1"/>
  <c r="BB108" i="1"/>
  <c r="BB112" i="1"/>
  <c r="BB126" i="1"/>
  <c r="BB133" i="1"/>
  <c r="BB137" i="1"/>
  <c r="BB141" i="1"/>
  <c r="BB145" i="1"/>
  <c r="BB149" i="1"/>
  <c r="K38" i="1"/>
  <c r="K39" i="1"/>
  <c r="BD48" i="1"/>
  <c r="P32" i="1" l="1"/>
  <c r="K20" i="1"/>
  <c r="P20" i="1"/>
  <c r="G20" i="1"/>
  <c r="BE20" i="1" s="1"/>
  <c r="K29" i="1"/>
  <c r="L29" i="1"/>
  <c r="N29" i="1" s="1"/>
  <c r="G39" i="1"/>
  <c r="BE39" i="1" s="1"/>
  <c r="P39" i="1"/>
  <c r="G7" i="1"/>
  <c r="BE7" i="1" s="1"/>
  <c r="P7" i="1"/>
  <c r="P53" i="1"/>
  <c r="G53" i="1"/>
  <c r="BE53" i="1" s="1"/>
  <c r="H64" i="1"/>
  <c r="G64" i="1"/>
  <c r="BE64" i="1" s="1"/>
  <c r="P64" i="1"/>
  <c r="G74" i="1"/>
  <c r="BE74" i="1" s="1"/>
  <c r="P74" i="1"/>
  <c r="G82" i="1"/>
  <c r="BE82" i="1" s="1"/>
  <c r="P82" i="1"/>
  <c r="G75" i="1"/>
  <c r="BE75" i="1" s="1"/>
  <c r="P75" i="1"/>
  <c r="K18" i="1"/>
  <c r="P18" i="1"/>
  <c r="G18" i="1"/>
  <c r="BE18" i="1" s="1"/>
  <c r="G24" i="1"/>
  <c r="BE24" i="1" s="1"/>
  <c r="P24" i="1"/>
  <c r="G68" i="1"/>
  <c r="BE68" i="1" s="1"/>
  <c r="P68" i="1"/>
  <c r="G30" i="1"/>
  <c r="BE30" i="1" s="1"/>
  <c r="P30" i="1"/>
  <c r="K45" i="1"/>
  <c r="P45" i="1"/>
  <c r="G45" i="1"/>
  <c r="BE45" i="1" s="1"/>
  <c r="H66" i="1"/>
  <c r="G66" i="1"/>
  <c r="BE66" i="1" s="1"/>
  <c r="P66" i="1"/>
  <c r="G52" i="1"/>
  <c r="BE52" i="1" s="1"/>
  <c r="P52" i="1"/>
  <c r="G80" i="1"/>
  <c r="BE80" i="1" s="1"/>
  <c r="P80" i="1"/>
  <c r="H71" i="1"/>
  <c r="P71" i="1"/>
  <c r="G71" i="1"/>
  <c r="BE71" i="1" s="1"/>
  <c r="P22" i="1"/>
  <c r="G22" i="1"/>
  <c r="BE22" i="1" s="1"/>
  <c r="G21" i="1"/>
  <c r="BE21" i="1" s="1"/>
  <c r="P21" i="1"/>
  <c r="L40" i="1"/>
  <c r="N40" i="1" s="1"/>
  <c r="K40" i="1"/>
  <c r="G76" i="1"/>
  <c r="BE76" i="1" s="1"/>
  <c r="P76" i="1"/>
  <c r="H79" i="1"/>
  <c r="G79" i="1"/>
  <c r="BE79" i="1" s="1"/>
  <c r="P79" i="1"/>
  <c r="G31" i="1"/>
  <c r="BE31" i="1" s="1"/>
  <c r="P31" i="1"/>
  <c r="P73" i="1"/>
  <c r="G73" i="1"/>
  <c r="BE73" i="1" s="1"/>
  <c r="P16" i="1"/>
  <c r="G16" i="1"/>
  <c r="BE16" i="1" s="1"/>
  <c r="G34" i="1"/>
  <c r="BE34" i="1" s="1"/>
  <c r="P34" i="1"/>
  <c r="K19" i="1"/>
  <c r="G19" i="1"/>
  <c r="BE19" i="1" s="1"/>
  <c r="P19" i="1"/>
  <c r="H32" i="1"/>
  <c r="L32" i="1"/>
  <c r="N32" i="1" s="1"/>
  <c r="G81" i="1"/>
  <c r="BE81" i="1" s="1"/>
  <c r="P81" i="1"/>
  <c r="K30" i="1"/>
  <c r="L30" i="1"/>
  <c r="N30" i="1" s="1"/>
  <c r="P33" i="1"/>
  <c r="G33" i="1"/>
  <c r="BE33" i="1" s="1"/>
  <c r="G67" i="1"/>
  <c r="BE67" i="1" s="1"/>
  <c r="P67" i="1"/>
  <c r="H67" i="1"/>
  <c r="P78" i="1"/>
  <c r="G78" i="1"/>
  <c r="BE78" i="1" s="1"/>
  <c r="P6" i="1"/>
  <c r="G6" i="1"/>
  <c r="BE6" i="1" s="1"/>
  <c r="P10" i="1"/>
  <c r="G10" i="1"/>
  <c r="BE10" i="1" s="1"/>
  <c r="P14" i="1"/>
  <c r="G14" i="1"/>
  <c r="BE14" i="1" s="1"/>
  <c r="G41" i="1"/>
  <c r="BE41" i="1" s="1"/>
  <c r="P41" i="1"/>
  <c r="P35" i="1"/>
  <c r="G35" i="1"/>
  <c r="BE35" i="1" s="1"/>
  <c r="P44" i="1"/>
  <c r="G44" i="1"/>
  <c r="BE44" i="1" s="1"/>
  <c r="G69" i="1"/>
  <c r="BE69" i="1" s="1"/>
  <c r="P69" i="1"/>
  <c r="K43" i="1"/>
  <c r="H43" i="1"/>
  <c r="P43" i="1"/>
  <c r="G43" i="1"/>
  <c r="BE43" i="1" s="1"/>
  <c r="G42" i="1"/>
  <c r="BE42" i="1" s="1"/>
  <c r="P42" i="1"/>
  <c r="K42" i="1"/>
  <c r="H42" i="1"/>
  <c r="G27" i="1"/>
  <c r="BE27" i="1" s="1"/>
  <c r="P27" i="1"/>
  <c r="G29" i="1"/>
  <c r="BE29" i="1" s="1"/>
  <c r="P29" i="1"/>
  <c r="G23" i="1"/>
  <c r="BE23" i="1" s="1"/>
  <c r="P23" i="1"/>
  <c r="P51" i="1"/>
  <c r="G51" i="1"/>
  <c r="BE51" i="1" s="1"/>
  <c r="P48" i="1"/>
  <c r="G48" i="1"/>
  <c r="BE48" i="1" s="1"/>
  <c r="P37" i="1"/>
  <c r="G37" i="1"/>
  <c r="BE37" i="1" s="1"/>
  <c r="P46" i="1"/>
  <c r="G46" i="1"/>
  <c r="BE46" i="1" s="1"/>
  <c r="K46" i="1"/>
  <c r="H70" i="1"/>
  <c r="G70" i="1"/>
  <c r="BE70" i="1" s="1"/>
  <c r="P70" i="1"/>
  <c r="P38" i="1"/>
  <c r="G38" i="1"/>
  <c r="BE38" i="1" s="1"/>
  <c r="G40" i="1"/>
  <c r="BE40" i="1" s="1"/>
  <c r="P40" i="1"/>
  <c r="K47" i="1"/>
  <c r="P47" i="1"/>
  <c r="G47" i="1"/>
  <c r="BE47" i="1" s="1"/>
  <c r="P12" i="1"/>
  <c r="G12" i="1"/>
  <c r="BE12" i="1" s="1"/>
  <c r="G49" i="1"/>
  <c r="BE49" i="1" s="1"/>
  <c r="P49" i="1"/>
  <c r="G9" i="1"/>
  <c r="BE9" i="1" s="1"/>
  <c r="P9" i="1"/>
  <c r="P50" i="1"/>
  <c r="G50" i="1"/>
  <c r="BE50" i="1" s="1"/>
  <c r="G72" i="1"/>
  <c r="BE72" i="1" s="1"/>
  <c r="P72" i="1"/>
  <c r="P25" i="1"/>
  <c r="G25" i="1"/>
  <c r="BE25" i="1" s="1"/>
  <c r="G36" i="1"/>
  <c r="BE36" i="1" s="1"/>
  <c r="P36" i="1"/>
  <c r="K17" i="1"/>
  <c r="G17" i="1"/>
  <c r="BE17" i="1" s="1"/>
  <c r="P17" i="1"/>
  <c r="P5" i="1"/>
  <c r="G5" i="1"/>
  <c r="BE5" i="1" s="1"/>
  <c r="G77" i="1"/>
  <c r="BE77" i="1" s="1"/>
  <c r="P77" i="1"/>
  <c r="H65" i="1"/>
  <c r="G65" i="1"/>
  <c r="BE65" i="1" s="1"/>
  <c r="P65" i="1"/>
</calcChain>
</file>

<file path=xl/sharedStrings.xml><?xml version="1.0" encoding="utf-8"?>
<sst xmlns="http://schemas.openxmlformats.org/spreadsheetml/2006/main" count="377" uniqueCount="188">
  <si>
    <t>港股股价</t>
    <phoneticPr fontId="4" type="noConversion"/>
  </si>
  <si>
    <t>总股本</t>
    <phoneticPr fontId="4" type="noConversion"/>
  </si>
  <si>
    <t>净资产</t>
    <phoneticPr fontId="4" type="noConversion"/>
  </si>
  <si>
    <t>当期市值</t>
    <phoneticPr fontId="4" type="noConversion"/>
  </si>
  <si>
    <t>PB</t>
    <phoneticPr fontId="4" type="noConversion"/>
  </si>
  <si>
    <t>分红</t>
    <phoneticPr fontId="4" type="noConversion"/>
  </si>
  <si>
    <t>净资产增长率</t>
    <phoneticPr fontId="4" type="noConversion"/>
  </si>
  <si>
    <t>股息率</t>
    <phoneticPr fontId="4" type="noConversion"/>
  </si>
  <si>
    <t>资产收益</t>
    <phoneticPr fontId="4" type="noConversion"/>
  </si>
  <si>
    <t>扣非利润</t>
    <phoneticPr fontId="4" type="noConversion"/>
  </si>
  <si>
    <t>资产收益率</t>
    <phoneticPr fontId="4" type="noConversion"/>
  </si>
  <si>
    <t>归母利润</t>
    <phoneticPr fontId="4" type="noConversion"/>
  </si>
  <si>
    <t>扣非PE</t>
    <phoneticPr fontId="4" type="noConversion"/>
  </si>
  <si>
    <t>营业收入</t>
    <phoneticPr fontId="4" type="noConversion"/>
  </si>
  <si>
    <t>营业成本</t>
    <phoneticPr fontId="4" type="noConversion"/>
  </si>
  <si>
    <t>营业利润</t>
    <phoneticPr fontId="4" type="noConversion"/>
  </si>
  <si>
    <t>净利润</t>
    <phoneticPr fontId="4" type="noConversion"/>
  </si>
  <si>
    <t>归母/净利润</t>
    <phoneticPr fontId="4" type="noConversion"/>
  </si>
  <si>
    <t>销售费用</t>
    <phoneticPr fontId="4" type="noConversion"/>
  </si>
  <si>
    <t>管理费用</t>
    <phoneticPr fontId="4" type="noConversion"/>
  </si>
  <si>
    <t>研发费用</t>
    <phoneticPr fontId="4" type="noConversion"/>
  </si>
  <si>
    <t>融资成本</t>
    <phoneticPr fontId="4" type="noConversion"/>
  </si>
  <si>
    <t>货币资金</t>
    <phoneticPr fontId="4" type="noConversion"/>
  </si>
  <si>
    <t>应收</t>
    <phoneticPr fontId="4" type="noConversion"/>
  </si>
  <si>
    <t>库存</t>
    <phoneticPr fontId="4" type="noConversion"/>
  </si>
  <si>
    <t>投资</t>
    <phoneticPr fontId="4" type="noConversion"/>
  </si>
  <si>
    <t>应付</t>
    <phoneticPr fontId="4" type="noConversion"/>
  </si>
  <si>
    <t>合同负债变动（%）</t>
    <phoneticPr fontId="4" type="noConversion"/>
  </si>
  <si>
    <t>短期贷款</t>
    <phoneticPr fontId="4" type="noConversion"/>
  </si>
  <si>
    <t>长期贷款</t>
    <phoneticPr fontId="4" type="noConversion"/>
  </si>
  <si>
    <t>总资产</t>
    <phoneticPr fontId="4" type="noConversion"/>
  </si>
  <si>
    <t>非流动资产</t>
    <phoneticPr fontId="4" type="noConversion"/>
  </si>
  <si>
    <t>流动负债</t>
    <phoneticPr fontId="4" type="noConversion"/>
  </si>
  <si>
    <t>总资产-流动负债</t>
    <phoneticPr fontId="4" type="noConversion"/>
  </si>
  <si>
    <t>经营现金流净额</t>
    <phoneticPr fontId="4" type="noConversion"/>
  </si>
  <si>
    <t>资本开支</t>
    <phoneticPr fontId="4" type="noConversion"/>
  </si>
  <si>
    <t>三年平均资本开支</t>
    <phoneticPr fontId="4" type="noConversion"/>
  </si>
  <si>
    <t>三年经营现金流净额</t>
    <phoneticPr fontId="4" type="noConversion"/>
  </si>
  <si>
    <t>三年净利润</t>
    <phoneticPr fontId="4" type="noConversion"/>
  </si>
  <si>
    <t>现金流/利润</t>
    <phoneticPr fontId="4" type="noConversion"/>
  </si>
  <si>
    <t>平均现金流</t>
    <phoneticPr fontId="4" type="noConversion"/>
  </si>
  <si>
    <t>平均自由现金流</t>
    <phoneticPr fontId="4" type="noConversion"/>
  </si>
  <si>
    <t>净现金</t>
    <phoneticPr fontId="4" type="noConversion"/>
  </si>
  <si>
    <t>净现金/资本开支</t>
    <phoneticPr fontId="4" type="noConversion"/>
  </si>
  <si>
    <t>净现金/市值</t>
    <phoneticPr fontId="4" type="noConversion"/>
  </si>
  <si>
    <t>腾讯控股</t>
    <phoneticPr fontId="4" type="noConversion"/>
  </si>
  <si>
    <t>2023年报</t>
    <phoneticPr fontId="4" type="noConversion"/>
  </si>
  <si>
    <t>2024年报</t>
    <phoneticPr fontId="4" type="noConversion"/>
  </si>
  <si>
    <t>阿里巴巴</t>
    <phoneticPr fontId="4" type="noConversion"/>
  </si>
  <si>
    <t>三季报</t>
    <phoneticPr fontId="4" type="noConversion"/>
  </si>
  <si>
    <t>联想集团</t>
    <phoneticPr fontId="4" type="noConversion"/>
  </si>
  <si>
    <t>2025年报</t>
    <phoneticPr fontId="4" type="noConversion"/>
  </si>
  <si>
    <t>小米集团</t>
    <phoneticPr fontId="4" type="noConversion"/>
  </si>
  <si>
    <t>联邦制药</t>
    <phoneticPr fontId="4" type="noConversion"/>
  </si>
  <si>
    <t>中国海油</t>
    <phoneticPr fontId="4" type="noConversion"/>
  </si>
  <si>
    <t>中国移动</t>
    <phoneticPr fontId="4" type="noConversion"/>
  </si>
  <si>
    <t>中国电信</t>
    <phoneticPr fontId="4" type="noConversion"/>
  </si>
  <si>
    <t>中国联通</t>
    <phoneticPr fontId="4" type="noConversion"/>
  </si>
  <si>
    <t>快手</t>
    <phoneticPr fontId="4" type="noConversion"/>
  </si>
  <si>
    <t>美团</t>
    <phoneticPr fontId="4" type="noConversion"/>
  </si>
  <si>
    <t>携程</t>
    <phoneticPr fontId="4" type="noConversion"/>
  </si>
  <si>
    <t>百度</t>
    <phoneticPr fontId="4" type="noConversion"/>
  </si>
  <si>
    <t>拼多多</t>
    <phoneticPr fontId="4" type="noConversion"/>
  </si>
  <si>
    <t>华润啤酒</t>
    <phoneticPr fontId="4" type="noConversion"/>
  </si>
  <si>
    <t>青岛啤酒</t>
    <phoneticPr fontId="4" type="noConversion"/>
  </si>
  <si>
    <t>百威亚太</t>
    <phoneticPr fontId="4" type="noConversion"/>
  </si>
  <si>
    <t>蒙牛乳业</t>
    <phoneticPr fontId="4" type="noConversion"/>
  </si>
  <si>
    <t>长实集团</t>
    <phoneticPr fontId="4" type="noConversion"/>
  </si>
  <si>
    <t>长和</t>
    <phoneticPr fontId="4" type="noConversion"/>
  </si>
  <si>
    <t>长江基建</t>
    <phoneticPr fontId="4" type="noConversion"/>
  </si>
  <si>
    <t>电能实业</t>
    <phoneticPr fontId="4" type="noConversion"/>
  </si>
  <si>
    <t>白云山</t>
    <phoneticPr fontId="4" type="noConversion"/>
  </si>
  <si>
    <t>石药集团</t>
    <phoneticPr fontId="4" type="noConversion"/>
  </si>
  <si>
    <t>李宁</t>
    <phoneticPr fontId="4" type="noConversion"/>
  </si>
  <si>
    <t>安踏</t>
    <phoneticPr fontId="4" type="noConversion"/>
  </si>
  <si>
    <t>361度</t>
    <phoneticPr fontId="4" type="noConversion"/>
  </si>
  <si>
    <t>特步国际</t>
    <phoneticPr fontId="4" type="noConversion"/>
  </si>
  <si>
    <t>2024年报</t>
  </si>
  <si>
    <t>飞鹤</t>
    <phoneticPr fontId="4" type="noConversion"/>
  </si>
  <si>
    <t>周生生</t>
    <phoneticPr fontId="4" type="noConversion"/>
  </si>
  <si>
    <t>六福集团</t>
    <phoneticPr fontId="4" type="noConversion"/>
  </si>
  <si>
    <t>2024中报</t>
    <phoneticPr fontId="4" type="noConversion"/>
  </si>
  <si>
    <t>周大福</t>
    <phoneticPr fontId="4" type="noConversion"/>
  </si>
  <si>
    <t>周大生</t>
    <phoneticPr fontId="4" type="noConversion"/>
  </si>
  <si>
    <t>统一企业中国</t>
    <phoneticPr fontId="4" type="noConversion"/>
  </si>
  <si>
    <t>康师傅控股</t>
    <phoneticPr fontId="4" type="noConversion"/>
  </si>
  <si>
    <t>百胜中国</t>
    <phoneticPr fontId="4" type="noConversion"/>
  </si>
  <si>
    <t>招商局港口</t>
    <phoneticPr fontId="4" type="noConversion"/>
  </si>
  <si>
    <t>中远海运港口</t>
    <phoneticPr fontId="4" type="noConversion"/>
  </si>
  <si>
    <t>新秀丽</t>
    <phoneticPr fontId="4" type="noConversion"/>
  </si>
  <si>
    <t>悠然牧业</t>
    <phoneticPr fontId="4" type="noConversion"/>
  </si>
  <si>
    <t>2025中报</t>
    <phoneticPr fontId="4" type="noConversion"/>
  </si>
  <si>
    <t>万国数据</t>
    <phoneticPr fontId="4" type="noConversion"/>
  </si>
  <si>
    <t>华晨中国</t>
    <phoneticPr fontId="4" type="noConversion"/>
  </si>
  <si>
    <t>江南布衣</t>
    <phoneticPr fontId="4" type="noConversion"/>
  </si>
  <si>
    <t>波司登</t>
    <phoneticPr fontId="4" type="noConversion"/>
  </si>
  <si>
    <t>华润医药</t>
    <phoneticPr fontId="4" type="noConversion"/>
  </si>
  <si>
    <t>京东健康</t>
    <phoneticPr fontId="4" type="noConversion"/>
  </si>
  <si>
    <t>阿里健康</t>
    <phoneticPr fontId="4" type="noConversion"/>
  </si>
  <si>
    <t>万物云</t>
    <phoneticPr fontId="4" type="noConversion"/>
  </si>
  <si>
    <t>中远海控</t>
    <phoneticPr fontId="4" type="noConversion"/>
  </si>
  <si>
    <t>中广核</t>
    <phoneticPr fontId="4" type="noConversion"/>
  </si>
  <si>
    <t>第一拖拉机</t>
    <phoneticPr fontId="4" type="noConversion"/>
  </si>
  <si>
    <t>药明生物</t>
    <phoneticPr fontId="4" type="noConversion"/>
  </si>
  <si>
    <t>海天国际</t>
    <phoneticPr fontId="4" type="noConversion"/>
  </si>
  <si>
    <t>大秦铁路</t>
    <phoneticPr fontId="4" type="noConversion"/>
  </si>
  <si>
    <t>格力电器</t>
    <phoneticPr fontId="4" type="noConversion"/>
  </si>
  <si>
    <t>美的集团</t>
    <phoneticPr fontId="4" type="noConversion"/>
  </si>
  <si>
    <t>海尔智家</t>
    <phoneticPr fontId="4" type="noConversion"/>
  </si>
  <si>
    <t>鱼跃医疗</t>
    <phoneticPr fontId="4" type="noConversion"/>
  </si>
  <si>
    <t>迈瑞医疗</t>
    <phoneticPr fontId="4" type="noConversion"/>
  </si>
  <si>
    <t>陕西煤业</t>
    <phoneticPr fontId="4" type="noConversion"/>
  </si>
  <si>
    <t>中国神化</t>
    <phoneticPr fontId="4" type="noConversion"/>
  </si>
  <si>
    <t>五粮液</t>
    <phoneticPr fontId="4" type="noConversion"/>
  </si>
  <si>
    <t>贵州茅台</t>
    <phoneticPr fontId="4" type="noConversion"/>
  </si>
  <si>
    <t>洋河股份</t>
    <phoneticPr fontId="4" type="noConversion"/>
  </si>
  <si>
    <t>东鹏饮料</t>
    <phoneticPr fontId="4" type="noConversion"/>
  </si>
  <si>
    <t>泸州老窖</t>
    <phoneticPr fontId="4" type="noConversion"/>
  </si>
  <si>
    <t>长江电力</t>
    <phoneticPr fontId="4" type="noConversion"/>
  </si>
  <si>
    <t>中国国贸</t>
    <phoneticPr fontId="4" type="noConversion"/>
  </si>
  <si>
    <t>伊利股份</t>
    <phoneticPr fontId="4" type="noConversion"/>
  </si>
  <si>
    <t>分众传媒</t>
    <phoneticPr fontId="4" type="noConversion"/>
  </si>
  <si>
    <t>老凤祥</t>
    <phoneticPr fontId="4" type="noConversion"/>
  </si>
  <si>
    <t>梅花生物</t>
    <phoneticPr fontId="4" type="noConversion"/>
  </si>
  <si>
    <t>森麒麟</t>
    <phoneticPr fontId="4" type="noConversion"/>
  </si>
  <si>
    <t>珀莱雅</t>
    <phoneticPr fontId="4" type="noConversion"/>
  </si>
  <si>
    <t>紫金矿业</t>
    <phoneticPr fontId="4" type="noConversion"/>
  </si>
  <si>
    <t>洛阳钼业</t>
    <phoneticPr fontId="4" type="noConversion"/>
  </si>
  <si>
    <t>福耀玻璃</t>
    <phoneticPr fontId="4" type="noConversion"/>
  </si>
  <si>
    <t>心脉医疗</t>
    <phoneticPr fontId="4" type="noConversion"/>
  </si>
  <si>
    <t>华润三九</t>
    <phoneticPr fontId="4" type="noConversion"/>
  </si>
  <si>
    <t>云南白药</t>
    <phoneticPr fontId="4" type="noConversion"/>
  </si>
  <si>
    <t>晨光股份</t>
    <phoneticPr fontId="4" type="noConversion"/>
  </si>
  <si>
    <t>济川药业</t>
    <phoneticPr fontId="4" type="noConversion"/>
  </si>
  <si>
    <t>葵花药业</t>
    <phoneticPr fontId="4" type="noConversion"/>
  </si>
  <si>
    <t>宁德时代</t>
    <phoneticPr fontId="4" type="noConversion"/>
  </si>
  <si>
    <t>北大荒</t>
    <phoneticPr fontId="4" type="noConversion"/>
  </si>
  <si>
    <t>新和成</t>
    <phoneticPr fontId="4" type="noConversion"/>
  </si>
  <si>
    <t>药明康德</t>
    <phoneticPr fontId="4" type="noConversion"/>
  </si>
  <si>
    <t>九号公司</t>
    <phoneticPr fontId="4" type="noConversion"/>
  </si>
  <si>
    <t>羚锐制药</t>
    <phoneticPr fontId="4" type="noConversion"/>
  </si>
  <si>
    <t>恒瑞医药</t>
    <phoneticPr fontId="4" type="noConversion"/>
  </si>
  <si>
    <t>白云机场</t>
    <phoneticPr fontId="4" type="noConversion"/>
  </si>
  <si>
    <t>盐津铺子</t>
    <phoneticPr fontId="4" type="noConversion"/>
  </si>
  <si>
    <t>立讯精密</t>
    <phoneticPr fontId="4" type="noConversion"/>
  </si>
  <si>
    <t>国电南瑞</t>
    <phoneticPr fontId="4" type="noConversion"/>
  </si>
  <si>
    <t>平高电气</t>
    <phoneticPr fontId="4" type="noConversion"/>
  </si>
  <si>
    <t>科华数据</t>
    <phoneticPr fontId="4" type="noConversion"/>
  </si>
  <si>
    <t>中国西电</t>
    <phoneticPr fontId="4" type="noConversion"/>
  </si>
  <si>
    <t>东阿阿胶</t>
    <phoneticPr fontId="4" type="noConversion"/>
  </si>
  <si>
    <t>马应龙</t>
    <phoneticPr fontId="4" type="noConversion"/>
  </si>
  <si>
    <t>思源电气</t>
    <phoneticPr fontId="4" type="noConversion"/>
  </si>
  <si>
    <t>特变电工</t>
    <phoneticPr fontId="4" type="noConversion"/>
  </si>
  <si>
    <t>宝丰能源</t>
    <phoneticPr fontId="4" type="noConversion"/>
  </si>
  <si>
    <t>科大讯飞</t>
    <phoneticPr fontId="4" type="noConversion"/>
  </si>
  <si>
    <t>比亚迪</t>
    <phoneticPr fontId="4" type="noConversion"/>
  </si>
  <si>
    <t>石头科技</t>
    <phoneticPr fontId="4" type="noConversion"/>
  </si>
  <si>
    <t>中宠股份</t>
    <phoneticPr fontId="4" type="noConversion"/>
  </si>
  <si>
    <t>港元/人民币汇率</t>
    <phoneticPr fontId="4" type="noConversion"/>
  </si>
  <si>
    <t>报告名称</t>
    <phoneticPr fontId="4" type="noConversion"/>
  </si>
  <si>
    <t>人民币股价</t>
    <phoneticPr fontId="4" type="noConversion"/>
  </si>
  <si>
    <t>股票代码</t>
    <phoneticPr fontId="4" type="noConversion"/>
  </si>
  <si>
    <t>分红（HKD）</t>
    <phoneticPr fontId="4" type="noConversion"/>
  </si>
  <si>
    <t>公司名称</t>
    <phoneticPr fontId="4" type="noConversion"/>
  </si>
  <si>
    <t>总股本（亿）</t>
    <phoneticPr fontId="4" type="noConversion"/>
  </si>
  <si>
    <t>营业收入（亿RMB）</t>
    <phoneticPr fontId="4" type="noConversion"/>
  </si>
  <si>
    <t>营业成本（亿RMB）</t>
    <phoneticPr fontId="4" type="noConversion"/>
  </si>
  <si>
    <t>营业利润（亿RMB）</t>
    <phoneticPr fontId="4" type="noConversion"/>
  </si>
  <si>
    <t>净利润（亿RMB）</t>
    <phoneticPr fontId="4" type="noConversion"/>
  </si>
  <si>
    <t>归母利润（亿RMB）</t>
    <phoneticPr fontId="4" type="noConversion"/>
  </si>
  <si>
    <t>扣非利润（亿RMB）</t>
    <phoneticPr fontId="4" type="noConversion"/>
  </si>
  <si>
    <t>销售费用（亿RMB）</t>
    <phoneticPr fontId="4" type="noConversion"/>
  </si>
  <si>
    <t>管理费用（亿RMB）</t>
    <phoneticPr fontId="4" type="noConversion"/>
  </si>
  <si>
    <t>研发费用（亿RMB）</t>
    <phoneticPr fontId="4" type="noConversion"/>
  </si>
  <si>
    <t>融资成本（亿RMB）</t>
    <phoneticPr fontId="4" type="noConversion"/>
  </si>
  <si>
    <t>货币资金（亿RMB）</t>
    <phoneticPr fontId="4" type="noConversion"/>
  </si>
  <si>
    <t>应收（亿RMB）</t>
    <phoneticPr fontId="4" type="noConversion"/>
  </si>
  <si>
    <t>库存（亿RMB）</t>
    <phoneticPr fontId="4" type="noConversion"/>
  </si>
  <si>
    <t>投资（亿RMB）</t>
    <phoneticPr fontId="4" type="noConversion"/>
  </si>
  <si>
    <t>应付（亿RMB）</t>
    <phoneticPr fontId="4" type="noConversion"/>
  </si>
  <si>
    <t>短期贷款（亿RMB）</t>
    <phoneticPr fontId="4" type="noConversion"/>
  </si>
  <si>
    <t>长期贷款（亿RMB）</t>
    <phoneticPr fontId="4" type="noConversion"/>
  </si>
  <si>
    <t>总资产（亿RMB）</t>
    <phoneticPr fontId="4" type="noConversion"/>
  </si>
  <si>
    <t>净资产（亿RMB）</t>
    <phoneticPr fontId="4" type="noConversion"/>
  </si>
  <si>
    <t>非流动资产（亿RMB）</t>
    <phoneticPr fontId="4" type="noConversion"/>
  </si>
  <si>
    <t>流动负债（亿RMB）</t>
    <phoneticPr fontId="4" type="noConversion"/>
  </si>
  <si>
    <t>经营现金流净额（亿RMB）</t>
    <phoneticPr fontId="4" type="noConversion"/>
  </si>
  <si>
    <t>资本开支（亿RMB）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</si>
</sst>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13" x14ac:knownFonts="1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2"/>
      <charset val="134"/>
      <scheme val="minor"/>
    </font>
    <font>
      <sz val="11"/>
      <color rgb="FFFF0000"/>
      <name val="Calibri"/>
      <family val="3"/>
      <charset val="134"/>
      <scheme val="minor"/>
    </font>
    <font>
      <sz val="11"/>
      <color theme="5"/>
      <name val="Calibri"/>
      <family val="2"/>
      <charset val="134"/>
      <scheme val="minor"/>
    </font>
    <font>
      <sz val="11"/>
      <name val="Calibri"/>
      <family val="2"/>
      <charset val="134"/>
      <scheme val="minor"/>
    </font>
    <font>
      <sz val="11"/>
      <color theme="2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color rgb="FFFF0000"/>
      <name val="Calibri"/>
      <family val="3"/>
      <charset val="134"/>
      <scheme val="minor"/>
    </font>
    <font>
      <b/>
      <sz val="11"/>
      <color theme="2"/>
      <name val="Calibri"/>
      <family val="3"/>
      <charset val="134"/>
      <scheme val="minor"/>
    </font>
    <font>
      <sz val="11"/>
      <color rgb="FF00B050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5" xfId="0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0" fillId="3" borderId="1" xfId="0" applyFill="1" applyBorder="1">
      <alignment vertical="center"/>
    </xf>
    <xf numFmtId="0" fontId="2" fillId="3" borderId="0" xfId="0" applyFont="1" applyFill="1" applyAlignment="1">
      <alignment horizontal="center" vertical="center"/>
    </xf>
    <xf numFmtId="0" fontId="8" fillId="0" borderId="1" xfId="0" applyFont="1" applyBorder="1">
      <alignment vertical="center"/>
    </xf>
    <xf numFmtId="4" fontId="3" fillId="3" borderId="1" xfId="0" applyNumberFormat="1" applyFont="1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>
      <alignment vertical="center"/>
    </xf>
    <xf numFmtId="164" fontId="0" fillId="3" borderId="1" xfId="0" applyNumberFormat="1" applyFill="1" applyBorder="1">
      <alignment vertical="center"/>
    </xf>
    <xf numFmtId="0" fontId="0" fillId="2" borderId="1" xfId="0" applyFill="1" applyBorder="1">
      <alignment vertical="center"/>
    </xf>
    <xf numFmtId="9" fontId="9" fillId="3" borderId="1" xfId="0" applyNumberFormat="1" applyFont="1" applyFill="1" applyBorder="1">
      <alignment vertical="center"/>
    </xf>
    <xf numFmtId="3" fontId="0" fillId="3" borderId="1" xfId="0" applyNumberFormat="1" applyFill="1" applyBorder="1" applyAlignment="1">
      <alignment horizontal="center" vertical="center"/>
    </xf>
    <xf numFmtId="9" fontId="0" fillId="3" borderId="0" xfId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3" fontId="9" fillId="3" borderId="1" xfId="0" applyNumberFormat="1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9" fontId="9" fillId="3" borderId="0" xfId="1" applyFont="1" applyFill="1" applyBorder="1" applyAlignment="1">
      <alignment horizontal="center" vertical="center"/>
    </xf>
    <xf numFmtId="4" fontId="9" fillId="3" borderId="1" xfId="0" applyNumberFormat="1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164" fontId="10" fillId="3" borderId="1" xfId="0" applyNumberFormat="1" applyFont="1" applyFill="1" applyBorder="1" applyAlignment="1">
      <alignment horizontal="center" vertical="center"/>
    </xf>
    <xf numFmtId="9" fontId="10" fillId="3" borderId="0" xfId="1" applyFon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9" fillId="3" borderId="1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1" fillId="2" borderId="1" xfId="0" applyFont="1" applyFill="1" applyBorder="1">
      <alignment vertical="center"/>
    </xf>
    <xf numFmtId="164" fontId="0" fillId="3" borderId="6" xfId="0" applyNumberForma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0" xfId="0" applyFill="1">
      <alignment vertical="center"/>
    </xf>
    <xf numFmtId="0" fontId="3" fillId="2" borderId="1" xfId="0" applyFont="1" applyFill="1" applyBorder="1">
      <alignment vertical="center"/>
    </xf>
    <xf numFmtId="0" fontId="10" fillId="2" borderId="1" xfId="0" applyFont="1" applyFill="1" applyBorder="1">
      <alignment vertical="center"/>
    </xf>
    <xf numFmtId="0" fontId="10" fillId="2" borderId="1" xfId="0" applyFont="1" applyFill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center" vertical="center"/>
    </xf>
    <xf numFmtId="0" fontId="9" fillId="0" borderId="1" xfId="0" applyFont="1" applyBorder="1">
      <alignment vertical="center"/>
    </xf>
    <xf numFmtId="165" fontId="0" fillId="2" borderId="1" xfId="0" applyNumberForma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9" fontId="3" fillId="3" borderId="0" xfId="1" applyFont="1" applyFill="1" applyBorder="1" applyAlignment="1">
      <alignment horizontal="center" vertical="center"/>
    </xf>
    <xf numFmtId="3" fontId="2" fillId="3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7" fillId="3" borderId="7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9" fontId="10" fillId="3" borderId="1" xfId="0" applyNumberFormat="1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8" fillId="2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10" fontId="12" fillId="3" borderId="1" xfId="0" applyNumberFormat="1" applyFont="1" applyFill="1" applyBorder="1" applyAlignment="1">
      <alignment horizontal="center" vertical="center"/>
    </xf>
    <xf numFmtId="4" fontId="9" fillId="2" borderId="1" xfId="0" applyNumberFormat="1" applyFont="1" applyFill="1" applyBorder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164" fontId="0" fillId="3" borderId="0" xfId="0" applyNumberFormat="1" applyFill="1">
      <alignment vertical="center"/>
    </xf>
    <xf numFmtId="0" fontId="0" fillId="3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Desktop/&#32929;&#31080;&#20272;&#20540;&#34920;.xlsx" TargetMode="External"/><Relationship Id="rId1" Type="http://schemas.openxmlformats.org/officeDocument/2006/relationships/externalLinkPath" Target="file:///D:/Desktop/&#32929;&#31080;&#20272;&#20540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保守估值"/>
      <sheetName val="Raw"/>
      <sheetName val="正常估值"/>
      <sheetName val="持仓分析"/>
    </sheetNames>
    <sheetDataSet>
      <sheetData sheetId="0"/>
      <sheetData sheetId="1"/>
      <sheetData sheetId="2">
        <row r="2">
          <cell r="B2">
            <v>0.91520000000000001</v>
          </cell>
          <cell r="D2">
            <v>7.1128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43F04-656D-4E72-A90E-3C74D90804DD}">
  <dimension ref="A1:AB3"/>
  <sheetViews>
    <sheetView tabSelected="1" zoomScaleNormal="10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Y10" sqref="Y10"/>
    </sheetView>
  </sheetViews>
  <sheetFormatPr baseColWidth="10" defaultColWidth="8.83203125" defaultRowHeight="15" x14ac:dyDescent="0.2"/>
  <cols>
    <col min="2" max="2" width="15" style="84" bestFit="1" customWidth="1"/>
    <col min="4" max="4" width="8.6640625" style="60"/>
    <col min="5" max="5" width="8" style="60" customWidth="1"/>
    <col min="6" max="6" width="7.6640625" customWidth="1"/>
    <col min="7" max="7" width="9.5" bestFit="1" customWidth="1"/>
    <col min="11" max="11" width="8.5" bestFit="1" customWidth="1"/>
    <col min="14" max="14" width="8.6640625" style="87"/>
    <col min="16" max="17" width="8.6640625" style="60"/>
    <col min="18" max="18" width="6.5" style="60" bestFit="1" customWidth="1"/>
    <col min="19" max="26" width="8.6640625" style="60"/>
    <col min="28" max="28" width="8" style="88" bestFit="1" customWidth="1"/>
  </cols>
  <sheetData>
    <row r="1" spans="1:28" ht="42" customHeight="1" x14ac:dyDescent="0.2">
      <c r="A1" t="s">
        <v>161</v>
      </c>
      <c r="B1" s="84" t="s">
        <v>163</v>
      </c>
      <c r="C1" s="2" t="s">
        <v>159</v>
      </c>
      <c r="D1" s="7" t="s">
        <v>164</v>
      </c>
      <c r="E1" s="7" t="s">
        <v>162</v>
      </c>
      <c r="F1" s="7" t="s">
        <v>165</v>
      </c>
      <c r="G1" s="7" t="s">
        <v>166</v>
      </c>
      <c r="H1" s="7" t="s">
        <v>167</v>
      </c>
      <c r="I1" s="7" t="s">
        <v>168</v>
      </c>
      <c r="J1" s="7" t="s">
        <v>169</v>
      </c>
      <c r="K1" s="7" t="s">
        <v>170</v>
      </c>
      <c r="L1" s="7" t="s">
        <v>171</v>
      </c>
      <c r="M1" s="7" t="s">
        <v>172</v>
      </c>
      <c r="N1" s="7" t="s">
        <v>173</v>
      </c>
      <c r="O1" s="7" t="s">
        <v>174</v>
      </c>
      <c r="P1" s="7" t="s">
        <v>175</v>
      </c>
      <c r="Q1" s="7" t="s">
        <v>176</v>
      </c>
      <c r="R1" s="7" t="s">
        <v>177</v>
      </c>
      <c r="S1" s="7" t="s">
        <v>178</v>
      </c>
      <c r="T1" s="7" t="s">
        <v>179</v>
      </c>
      <c r="U1" s="7" t="s">
        <v>180</v>
      </c>
      <c r="V1" s="7" t="s">
        <v>181</v>
      </c>
      <c r="W1" s="7" t="s">
        <v>182</v>
      </c>
      <c r="X1" s="7" t="s">
        <v>183</v>
      </c>
      <c r="Y1" s="7" t="s">
        <v>184</v>
      </c>
      <c r="Z1" s="7" t="s">
        <v>185</v>
      </c>
      <c r="AA1" s="7" t="s">
        <v>186</v>
      </c>
      <c r="AB1" s="7" t="s">
        <v>187</v>
      </c>
    </row>
    <row r="2" spans="1:28" x14ac:dyDescent="0.2">
      <c r="A2">
        <v>700</v>
      </c>
      <c r="B2" s="2" t="s">
        <v>45</v>
      </c>
      <c r="C2" s="2" t="s">
        <v>46</v>
      </c>
      <c r="D2" s="4">
        <v>93.42</v>
      </c>
      <c r="E2" s="24">
        <v>3.4</v>
      </c>
      <c r="F2" s="4">
        <v>6090</v>
      </c>
      <c r="G2" s="4">
        <v>3159</v>
      </c>
      <c r="H2" s="4">
        <v>1517</v>
      </c>
      <c r="I2" s="4">
        <v>1180</v>
      </c>
      <c r="J2" s="4">
        <v>1152</v>
      </c>
      <c r="K2" s="4">
        <v>1577</v>
      </c>
      <c r="L2" s="4">
        <v>342</v>
      </c>
      <c r="M2" s="4">
        <v>1035</v>
      </c>
      <c r="N2" s="2">
        <v>641</v>
      </c>
      <c r="O2" s="4">
        <v>127</v>
      </c>
      <c r="P2" s="4">
        <f>3621+208</f>
        <v>3829</v>
      </c>
      <c r="Q2" s="4">
        <v>466</v>
      </c>
      <c r="R2" s="4">
        <v>4.5999999999999996</v>
      </c>
      <c r="S2" s="4">
        <v>6893</v>
      </c>
      <c r="T2" s="4">
        <v>1152</v>
      </c>
      <c r="U2" s="4">
        <v>477</v>
      </c>
      <c r="V2" s="4">
        <v>3094</v>
      </c>
      <c r="W2" s="4">
        <v>15800</v>
      </c>
      <c r="X2" s="4">
        <v>8737</v>
      </c>
      <c r="Y2" s="4">
        <v>10600</v>
      </c>
      <c r="Z2" s="4">
        <v>3522</v>
      </c>
      <c r="AA2" s="30">
        <v>2220</v>
      </c>
      <c r="AB2" s="31">
        <v>622</v>
      </c>
    </row>
    <row r="3" spans="1:28" x14ac:dyDescent="0.2">
      <c r="A3">
        <v>700</v>
      </c>
      <c r="B3" s="2" t="s">
        <v>45</v>
      </c>
      <c r="C3" s="2" t="s">
        <v>47</v>
      </c>
      <c r="D3" s="4">
        <v>91.79</v>
      </c>
      <c r="E3" s="24">
        <v>4.5</v>
      </c>
      <c r="F3" s="4">
        <v>6603</v>
      </c>
      <c r="G3" s="4">
        <v>3110</v>
      </c>
      <c r="H3" s="4">
        <v>2035</v>
      </c>
      <c r="I3" s="4">
        <v>1965</v>
      </c>
      <c r="J3" s="4">
        <v>1940</v>
      </c>
      <c r="K3" s="4">
        <v>2227</v>
      </c>
      <c r="L3" s="4">
        <v>364</v>
      </c>
      <c r="M3" s="4">
        <v>1148</v>
      </c>
      <c r="N3" s="2">
        <v>707</v>
      </c>
      <c r="O3" s="4">
        <v>120</v>
      </c>
      <c r="P3" s="4">
        <v>4760</v>
      </c>
      <c r="Q3" s="4">
        <v>482</v>
      </c>
      <c r="R3" s="4">
        <v>4.4000000000000004</v>
      </c>
      <c r="S3" s="4">
        <f>6534+3389</f>
        <v>9923</v>
      </c>
      <c r="T3" s="4">
        <v>1273</v>
      </c>
      <c r="U3" s="4">
        <v>947</v>
      </c>
      <c r="V3" s="4">
        <v>2910</v>
      </c>
      <c r="W3" s="4">
        <v>17800</v>
      </c>
      <c r="X3" s="4">
        <v>10500</v>
      </c>
      <c r="Y3" s="4">
        <v>12800</v>
      </c>
      <c r="Z3" s="4">
        <v>3969</v>
      </c>
      <c r="AA3" s="30">
        <v>2585</v>
      </c>
      <c r="AB3" s="31">
        <v>960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C88AC-DB7B-4720-8633-E7F3521F5A56}">
  <dimension ref="A1:BF150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B2"/>
    </sheetView>
  </sheetViews>
  <sheetFormatPr baseColWidth="10" defaultColWidth="8.83203125" defaultRowHeight="15" x14ac:dyDescent="0.2"/>
  <cols>
    <col min="1" max="1" width="15" style="84" bestFit="1" customWidth="1"/>
    <col min="4" max="4" width="8.6640625" style="85"/>
    <col min="5" max="5" width="8.6640625" style="60"/>
    <col min="6" max="6" width="7.5" style="60" bestFit="1" customWidth="1"/>
    <col min="7" max="7" width="7" style="86" customWidth="1"/>
    <col min="8" max="8" width="5" style="86" customWidth="1"/>
    <col min="9" max="9" width="5.83203125" style="60" bestFit="1" customWidth="1"/>
    <col min="10" max="10" width="6" style="60" customWidth="1"/>
    <col min="11" max="11" width="7" bestFit="1" customWidth="1"/>
    <col min="12" max="12" width="8.5" bestFit="1" customWidth="1"/>
    <col min="13" max="13" width="7.33203125" customWidth="1"/>
    <col min="14" max="14" width="8" customWidth="1"/>
    <col min="15" max="15" width="8.5" bestFit="1" customWidth="1"/>
    <col min="16" max="16" width="7.1640625" bestFit="1" customWidth="1"/>
    <col min="17" max="18" width="9.5" bestFit="1" customWidth="1"/>
    <col min="22" max="22" width="8.6640625" style="86"/>
    <col min="23" max="23" width="8.5" bestFit="1" customWidth="1"/>
    <col min="26" max="26" width="8.6640625" style="87"/>
    <col min="28" max="29" width="8.6640625" style="60"/>
    <col min="30" max="30" width="6.5" style="60" bestFit="1" customWidth="1"/>
    <col min="31" max="32" width="8.6640625" style="60"/>
    <col min="33" max="33" width="9" style="60" customWidth="1"/>
    <col min="34" max="39" width="8.6640625" style="60"/>
    <col min="40" max="40" width="8.6640625" style="86"/>
    <col min="42" max="42" width="12.33203125" bestFit="1" customWidth="1"/>
    <col min="43" max="43" width="6.5" bestFit="1" customWidth="1"/>
    <col min="44" max="44" width="5.5" bestFit="1" customWidth="1"/>
    <col min="45" max="45" width="8" style="88" bestFit="1" customWidth="1"/>
    <col min="46" max="51" width="8.6640625" style="60"/>
    <col min="52" max="52" width="7" style="86" customWidth="1"/>
    <col min="53" max="53" width="7.5" style="89" customWidth="1"/>
    <col min="54" max="54" width="8" style="89" customWidth="1"/>
    <col min="55" max="55" width="7" style="89" bestFit="1" customWidth="1"/>
    <col min="56" max="57" width="7" style="89" customWidth="1"/>
  </cols>
  <sheetData>
    <row r="1" spans="1:58" ht="48" x14ac:dyDescent="0.2">
      <c r="B1" s="2" t="s">
        <v>159</v>
      </c>
      <c r="C1" s="2" t="s">
        <v>0</v>
      </c>
      <c r="D1" s="3" t="s">
        <v>160</v>
      </c>
      <c r="E1" s="4" t="s">
        <v>1</v>
      </c>
      <c r="F1" s="4" t="s">
        <v>2</v>
      </c>
      <c r="G1" s="5" t="s">
        <v>3</v>
      </c>
      <c r="H1" s="5" t="s">
        <v>4</v>
      </c>
      <c r="I1" s="6" t="s">
        <v>5</v>
      </c>
      <c r="J1" s="90" t="s">
        <v>6</v>
      </c>
      <c r="K1" s="8" t="s">
        <v>7</v>
      </c>
      <c r="L1" s="8" t="s">
        <v>8</v>
      </c>
      <c r="M1" s="9" t="s">
        <v>9</v>
      </c>
      <c r="N1" s="7" t="s">
        <v>10</v>
      </c>
      <c r="O1" s="8" t="s">
        <v>11</v>
      </c>
      <c r="P1" s="90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11</v>
      </c>
      <c r="V1" s="5" t="s">
        <v>17</v>
      </c>
      <c r="W1" s="10" t="s">
        <v>9</v>
      </c>
      <c r="X1" s="4" t="s">
        <v>18</v>
      </c>
      <c r="Y1" s="4" t="s">
        <v>19</v>
      </c>
      <c r="Z1" s="4" t="s">
        <v>20</v>
      </c>
      <c r="AA1" s="4" t="s">
        <v>21</v>
      </c>
      <c r="AB1" s="4" t="s">
        <v>22</v>
      </c>
      <c r="AC1" s="4" t="s">
        <v>23</v>
      </c>
      <c r="AD1" s="4" t="s">
        <v>24</v>
      </c>
      <c r="AE1" s="4" t="s">
        <v>25</v>
      </c>
      <c r="AF1" s="4" t="s">
        <v>26</v>
      </c>
      <c r="AG1" s="11" t="s">
        <v>27</v>
      </c>
      <c r="AH1" s="4" t="s">
        <v>28</v>
      </c>
      <c r="AI1" s="4" t="s">
        <v>29</v>
      </c>
      <c r="AJ1" s="4" t="s">
        <v>30</v>
      </c>
      <c r="AK1" s="4" t="s">
        <v>2</v>
      </c>
      <c r="AL1" s="4" t="s">
        <v>31</v>
      </c>
      <c r="AM1" s="4" t="s">
        <v>32</v>
      </c>
      <c r="AN1" s="12" t="s">
        <v>33</v>
      </c>
      <c r="AO1" s="10" t="s">
        <v>34</v>
      </c>
      <c r="AP1" s="92" t="s">
        <v>35</v>
      </c>
      <c r="AQ1" s="93"/>
      <c r="AR1" s="93"/>
      <c r="AS1" s="15" t="s">
        <v>36</v>
      </c>
      <c r="AT1" s="94" t="s">
        <v>37</v>
      </c>
      <c r="AU1" s="94"/>
      <c r="AV1" s="94"/>
      <c r="AW1" s="94" t="s">
        <v>38</v>
      </c>
      <c r="AX1" s="94"/>
      <c r="AY1" s="94"/>
      <c r="AZ1" s="16" t="s">
        <v>39</v>
      </c>
      <c r="BA1" s="16" t="s">
        <v>40</v>
      </c>
      <c r="BB1" s="17" t="s">
        <v>41</v>
      </c>
      <c r="BC1" s="17" t="s">
        <v>42</v>
      </c>
      <c r="BD1" s="18" t="s">
        <v>43</v>
      </c>
      <c r="BE1" s="18" t="s">
        <v>44</v>
      </c>
    </row>
    <row r="2" spans="1:58" x14ac:dyDescent="0.2">
      <c r="A2" s="1" t="s">
        <v>158</v>
      </c>
      <c r="B2" s="1">
        <f>[1]正常估值!B2</f>
        <v>0.91520000000000001</v>
      </c>
      <c r="C2" s="2"/>
      <c r="D2" s="3"/>
      <c r="E2" s="4"/>
      <c r="F2" s="4"/>
      <c r="G2" s="5"/>
      <c r="H2" s="5"/>
      <c r="I2" s="6"/>
      <c r="J2" s="91"/>
      <c r="K2" s="8"/>
      <c r="L2" s="8"/>
      <c r="M2" s="8"/>
      <c r="N2" s="8"/>
      <c r="O2" s="8"/>
      <c r="P2" s="91"/>
      <c r="Q2" s="4"/>
      <c r="R2" s="4"/>
      <c r="S2" s="4"/>
      <c r="T2" s="4"/>
      <c r="U2" s="4"/>
      <c r="V2" s="5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5"/>
      <c r="AO2" s="6"/>
      <c r="AP2" s="13"/>
      <c r="AQ2" s="14"/>
      <c r="AR2" s="14"/>
      <c r="AS2" s="19"/>
      <c r="AT2" s="4"/>
      <c r="AU2" s="4"/>
      <c r="AV2" s="4"/>
      <c r="AW2" s="4"/>
      <c r="AX2" s="4"/>
      <c r="AY2" s="4"/>
      <c r="AZ2" s="19"/>
      <c r="BA2" s="8"/>
      <c r="BB2" s="8"/>
      <c r="BC2" s="8"/>
      <c r="BD2" s="20"/>
      <c r="BE2" s="20"/>
    </row>
    <row r="3" spans="1:58" x14ac:dyDescent="0.2">
      <c r="A3" s="21" t="s">
        <v>45</v>
      </c>
      <c r="B3" s="2" t="s">
        <v>46</v>
      </c>
      <c r="C3" s="2">
        <v>304</v>
      </c>
      <c r="D3" s="22">
        <f>C3*$B$2</f>
        <v>278.2208</v>
      </c>
      <c r="E3" s="4">
        <v>93.42</v>
      </c>
      <c r="F3" s="4">
        <v>85.27</v>
      </c>
      <c r="G3" s="5">
        <f t="shared" ref="G3:G66" si="0">D3*E3</f>
        <v>25991.387136000001</v>
      </c>
      <c r="H3" s="23">
        <f>C3/F3</f>
        <v>3.5651460068019234</v>
      </c>
      <c r="I3" s="24">
        <v>3.4</v>
      </c>
      <c r="J3" s="25">
        <v>0.03</v>
      </c>
      <c r="K3" s="26">
        <f t="shared" ref="K3:K16" si="1">I3/C3</f>
        <v>1.118421052631579E-2</v>
      </c>
      <c r="L3" s="27">
        <f t="shared" ref="L3:L66" si="2">I3+F3*J3</f>
        <v>5.9581</v>
      </c>
      <c r="M3" s="27">
        <f>W3/E3</f>
        <v>16.880753585955897</v>
      </c>
      <c r="N3" s="26">
        <f t="shared" ref="N3:N66" si="3">L3/F3</f>
        <v>6.9873343497126775E-2</v>
      </c>
      <c r="O3" s="27">
        <f>U3/E3</f>
        <v>12.331406551059731</v>
      </c>
      <c r="P3" s="28">
        <f>D3*E3/W3</f>
        <v>16.481539084337349</v>
      </c>
      <c r="Q3" s="4">
        <v>6090</v>
      </c>
      <c r="R3" s="4">
        <v>3159</v>
      </c>
      <c r="S3" s="4">
        <v>1517</v>
      </c>
      <c r="T3" s="4">
        <v>1180</v>
      </c>
      <c r="U3" s="4">
        <v>1152</v>
      </c>
      <c r="V3" s="29">
        <f t="shared" ref="V3:V66" si="4">U3/T3</f>
        <v>0.97627118644067801</v>
      </c>
      <c r="W3" s="4">
        <v>1577</v>
      </c>
      <c r="X3" s="4">
        <v>342</v>
      </c>
      <c r="Y3" s="4">
        <v>1035</v>
      </c>
      <c r="Z3" s="2">
        <v>641</v>
      </c>
      <c r="AA3" s="4">
        <v>127</v>
      </c>
      <c r="AB3" s="4">
        <f>3621+208</f>
        <v>3829</v>
      </c>
      <c r="AC3" s="4">
        <v>466</v>
      </c>
      <c r="AD3" s="4">
        <v>4.5999999999999996</v>
      </c>
      <c r="AE3" s="4">
        <v>6893</v>
      </c>
      <c r="AF3" s="4">
        <v>1152</v>
      </c>
      <c r="AG3" s="4"/>
      <c r="AH3" s="4">
        <v>477</v>
      </c>
      <c r="AI3" s="4">
        <v>3094</v>
      </c>
      <c r="AJ3" s="4">
        <v>15800</v>
      </c>
      <c r="AK3" s="4">
        <v>8737</v>
      </c>
      <c r="AL3" s="4">
        <v>10600</v>
      </c>
      <c r="AM3" s="4">
        <v>3522</v>
      </c>
      <c r="AN3" s="5">
        <f t="shared" ref="AN3:AN40" si="5">AJ3-AM3</f>
        <v>12278</v>
      </c>
      <c r="AO3" s="30">
        <v>2220</v>
      </c>
      <c r="AP3" s="4">
        <v>474</v>
      </c>
      <c r="AQ3" s="4">
        <v>509</v>
      </c>
      <c r="AR3" s="13">
        <v>622</v>
      </c>
      <c r="AS3" s="31">
        <f t="shared" ref="AS3:AS66" si="6">AVERAGE(AP3:AR3)</f>
        <v>535</v>
      </c>
      <c r="AT3" s="32">
        <v>1752</v>
      </c>
      <c r="AU3" s="32">
        <v>1461</v>
      </c>
      <c r="AV3" s="32">
        <v>2220</v>
      </c>
      <c r="AW3" s="32">
        <v>2248</v>
      </c>
      <c r="AX3" s="32">
        <v>1882</v>
      </c>
      <c r="AY3" s="32">
        <v>1152</v>
      </c>
      <c r="AZ3" s="33">
        <f>(AT3+AU3+AV3)/(AW3+AX3+AY3)</f>
        <v>1.0285876561908367</v>
      </c>
      <c r="BA3" s="34">
        <f t="shared" ref="BA3:BA66" si="7">AVERAGE(AT3:AV3)</f>
        <v>1811</v>
      </c>
      <c r="BB3" s="34">
        <f>BA3-AS3</f>
        <v>1276</v>
      </c>
      <c r="BC3" s="34">
        <f>AB3+AE3-AH3-AI3</f>
        <v>7151</v>
      </c>
      <c r="BD3" s="28">
        <f>BC3/AS3</f>
        <v>13.366355140186917</v>
      </c>
      <c r="BE3" s="35">
        <f t="shared" ref="BE3:BE66" si="8">BC3/G3</f>
        <v>0.27512960207096199</v>
      </c>
      <c r="BF3" t="str">
        <f t="shared" ref="BF3:BF66" si="9">A3</f>
        <v>腾讯控股</v>
      </c>
    </row>
    <row r="4" spans="1:58" x14ac:dyDescent="0.2">
      <c r="A4" s="36" t="s">
        <v>45</v>
      </c>
      <c r="B4" s="37" t="s">
        <v>47</v>
      </c>
      <c r="C4" s="38">
        <v>600</v>
      </c>
      <c r="D4" s="22">
        <v>667</v>
      </c>
      <c r="E4" s="4">
        <v>91.79</v>
      </c>
      <c r="F4" s="4">
        <v>105.5</v>
      </c>
      <c r="G4" s="5">
        <f t="shared" si="0"/>
        <v>61223.930000000008</v>
      </c>
      <c r="H4" s="23">
        <f t="shared" ref="H4:H40" si="10">C4/F4</f>
        <v>5.6872037914691944</v>
      </c>
      <c r="I4" s="24">
        <v>4.5</v>
      </c>
      <c r="J4" s="25">
        <f>F4/F3-1</f>
        <v>0.23724639380790435</v>
      </c>
      <c r="K4" s="26">
        <f t="shared" si="1"/>
        <v>7.4999999999999997E-3</v>
      </c>
      <c r="L4" s="27">
        <f t="shared" si="2"/>
        <v>29.529494546733908</v>
      </c>
      <c r="M4" s="27">
        <f>W4/E4</f>
        <v>24.261902167992154</v>
      </c>
      <c r="N4" s="39">
        <f t="shared" si="3"/>
        <v>0.27990042224392331</v>
      </c>
      <c r="O4" s="27">
        <f>U4/E4</f>
        <v>21.135199912844534</v>
      </c>
      <c r="P4" s="28">
        <f>D4*E4/W4</f>
        <v>27.491661427929955</v>
      </c>
      <c r="Q4" s="4">
        <v>6603</v>
      </c>
      <c r="R4" s="4">
        <v>3110</v>
      </c>
      <c r="S4" s="4">
        <v>2035</v>
      </c>
      <c r="T4" s="4">
        <v>1965</v>
      </c>
      <c r="U4" s="4">
        <v>1940</v>
      </c>
      <c r="V4" s="29">
        <f t="shared" si="4"/>
        <v>0.98727735368956748</v>
      </c>
      <c r="W4" s="4">
        <v>2227</v>
      </c>
      <c r="X4" s="4">
        <v>364</v>
      </c>
      <c r="Y4" s="4">
        <v>1148</v>
      </c>
      <c r="Z4" s="2">
        <v>707</v>
      </c>
      <c r="AA4" s="4">
        <v>120</v>
      </c>
      <c r="AB4" s="6">
        <v>4760</v>
      </c>
      <c r="AC4" s="4">
        <v>482</v>
      </c>
      <c r="AD4" s="4">
        <v>4.4000000000000004</v>
      </c>
      <c r="AE4" s="6">
        <f>6534+3389</f>
        <v>9923</v>
      </c>
      <c r="AF4" s="4">
        <v>1273</v>
      </c>
      <c r="AG4" s="6"/>
      <c r="AH4" s="6">
        <v>947</v>
      </c>
      <c r="AI4" s="4">
        <v>2910</v>
      </c>
      <c r="AJ4" s="4">
        <v>17800</v>
      </c>
      <c r="AK4" s="4">
        <v>10500</v>
      </c>
      <c r="AL4" s="4">
        <v>12800</v>
      </c>
      <c r="AM4" s="4">
        <v>3969</v>
      </c>
      <c r="AN4" s="5">
        <f t="shared" si="5"/>
        <v>13831</v>
      </c>
      <c r="AO4" s="30">
        <v>2585</v>
      </c>
      <c r="AP4" s="4">
        <v>960</v>
      </c>
      <c r="AQ4" s="4">
        <v>474</v>
      </c>
      <c r="AR4" s="13">
        <v>509</v>
      </c>
      <c r="AS4" s="31">
        <f t="shared" si="6"/>
        <v>647.66666666666663</v>
      </c>
      <c r="AT4" s="32">
        <v>1461</v>
      </c>
      <c r="AU4" s="32">
        <v>2220</v>
      </c>
      <c r="AV4" s="32">
        <v>2585</v>
      </c>
      <c r="AW4" s="32">
        <v>1882</v>
      </c>
      <c r="AX4" s="32">
        <v>1152</v>
      </c>
      <c r="AY4" s="32">
        <v>1941</v>
      </c>
      <c r="AZ4" s="33">
        <f t="shared" ref="AZ4:AZ68" si="11">(AT4+AU4+AV4)/(AW4+AX4+AY4)</f>
        <v>1.259497487437186</v>
      </c>
      <c r="BA4" s="40">
        <v>2850</v>
      </c>
      <c r="BB4" s="41">
        <f t="shared" ref="BB4:BB69" si="12">BA4-AS4</f>
        <v>2202.3333333333335</v>
      </c>
      <c r="BC4" s="42">
        <f t="shared" ref="BC4:BC69" si="13">AB4+AE4-AH4-AI4</f>
        <v>10826</v>
      </c>
      <c r="BD4" s="43">
        <f t="shared" ref="BD4:BD69" si="14">BC4/AS4</f>
        <v>16.715388574369534</v>
      </c>
      <c r="BE4" s="44">
        <f t="shared" si="8"/>
        <v>0.1768262834483183</v>
      </c>
      <c r="BF4" t="str">
        <f t="shared" si="9"/>
        <v>腾讯控股</v>
      </c>
    </row>
    <row r="5" spans="1:58" x14ac:dyDescent="0.2">
      <c r="A5" s="21" t="s">
        <v>48</v>
      </c>
      <c r="B5" s="2" t="s">
        <v>47</v>
      </c>
      <c r="C5" s="2">
        <v>80</v>
      </c>
      <c r="D5" s="22">
        <f t="shared" ref="D5:D27" si="15">C5*$B$2</f>
        <v>73.216000000000008</v>
      </c>
      <c r="E5" s="4">
        <v>193.45</v>
      </c>
      <c r="F5" s="4">
        <v>48.21</v>
      </c>
      <c r="G5" s="5">
        <f t="shared" si="0"/>
        <v>14163.635200000001</v>
      </c>
      <c r="H5" s="45">
        <f>C5/F5</f>
        <v>1.6594067620825554</v>
      </c>
      <c r="I5" s="24">
        <f>(0.125+0.0825)*7.8</f>
        <v>1.6185</v>
      </c>
      <c r="J5" s="25">
        <v>0.05</v>
      </c>
      <c r="K5" s="26">
        <f t="shared" si="1"/>
        <v>2.0231249999999999E-2</v>
      </c>
      <c r="L5" s="27">
        <f t="shared" si="2"/>
        <v>4.0289999999999999</v>
      </c>
      <c r="M5" s="27">
        <f>W5/E5</f>
        <v>4.1199276298785215</v>
      </c>
      <c r="N5" s="26">
        <f t="shared" si="3"/>
        <v>8.3571873055382703E-2</v>
      </c>
      <c r="O5" s="27">
        <f>U5/E5</f>
        <v>4.1199276298785215</v>
      </c>
      <c r="P5" s="28">
        <f>D5*E5/W5</f>
        <v>17.771185947302385</v>
      </c>
      <c r="Q5" s="4">
        <v>9411</v>
      </c>
      <c r="R5" s="4">
        <v>5863</v>
      </c>
      <c r="S5" s="4">
        <v>1016</v>
      </c>
      <c r="T5" s="4">
        <v>713</v>
      </c>
      <c r="U5" s="4">
        <v>797</v>
      </c>
      <c r="V5" s="29">
        <f t="shared" si="4"/>
        <v>1.1178120617110801</v>
      </c>
      <c r="W5" s="4">
        <v>797</v>
      </c>
      <c r="X5" s="4">
        <v>1151</v>
      </c>
      <c r="Y5" s="4">
        <v>636</v>
      </c>
      <c r="Z5" s="2">
        <v>523</v>
      </c>
      <c r="AA5" s="4">
        <v>79</v>
      </c>
      <c r="AB5" s="4">
        <f>2864+3229</f>
        <v>6093</v>
      </c>
      <c r="AC5" s="4">
        <v>306.86</v>
      </c>
      <c r="AD5" s="4">
        <v>0</v>
      </c>
      <c r="AE5" s="4">
        <v>4240</v>
      </c>
      <c r="AF5" s="4">
        <v>0</v>
      </c>
      <c r="AG5" s="4"/>
      <c r="AH5" s="4">
        <v>290</v>
      </c>
      <c r="AI5" s="4">
        <v>1418</v>
      </c>
      <c r="AJ5" s="4">
        <v>17600</v>
      </c>
      <c r="AK5" s="4">
        <v>11000</v>
      </c>
      <c r="AL5" s="4">
        <v>10100</v>
      </c>
      <c r="AM5" s="4">
        <v>4215</v>
      </c>
      <c r="AN5" s="5">
        <f t="shared" si="5"/>
        <v>13385</v>
      </c>
      <c r="AO5" s="30">
        <v>1826</v>
      </c>
      <c r="AP5" s="4">
        <v>330</v>
      </c>
      <c r="AQ5" s="4">
        <v>533</v>
      </c>
      <c r="AR5" s="13">
        <v>432</v>
      </c>
      <c r="AS5" s="31">
        <f t="shared" si="6"/>
        <v>431.66666666666669</v>
      </c>
      <c r="AT5" s="32">
        <v>1826</v>
      </c>
      <c r="AU5" s="32">
        <v>1997</v>
      </c>
      <c r="AV5" s="32">
        <v>1428</v>
      </c>
      <c r="AW5" s="32">
        <v>713</v>
      </c>
      <c r="AX5" s="32">
        <v>656</v>
      </c>
      <c r="AY5" s="32">
        <v>471</v>
      </c>
      <c r="AZ5" s="33">
        <f t="shared" si="11"/>
        <v>2.8538043478260868</v>
      </c>
      <c r="BA5" s="34">
        <f t="shared" si="7"/>
        <v>1750.3333333333333</v>
      </c>
      <c r="BB5" s="41">
        <f t="shared" si="12"/>
        <v>1318.6666666666665</v>
      </c>
      <c r="BC5" s="34">
        <f t="shared" si="13"/>
        <v>8625</v>
      </c>
      <c r="BD5" s="28">
        <f t="shared" si="14"/>
        <v>19.980694980694981</v>
      </c>
      <c r="BE5" s="35">
        <f t="shared" si="8"/>
        <v>0.60895383693587357</v>
      </c>
      <c r="BF5" t="str">
        <f t="shared" si="9"/>
        <v>阿里巴巴</v>
      </c>
    </row>
    <row r="6" spans="1:58" x14ac:dyDescent="0.2">
      <c r="A6" s="36" t="s">
        <v>48</v>
      </c>
      <c r="B6" s="37" t="s">
        <v>49</v>
      </c>
      <c r="C6" s="38">
        <v>153</v>
      </c>
      <c r="D6" s="22">
        <f t="shared" si="15"/>
        <v>140.0256</v>
      </c>
      <c r="E6" s="4">
        <v>190.9</v>
      </c>
      <c r="F6" s="4">
        <v>57.87</v>
      </c>
      <c r="G6" s="5">
        <f t="shared" si="0"/>
        <v>26730.887040000001</v>
      </c>
      <c r="H6" s="45">
        <f t="shared" si="10"/>
        <v>2.6438569206842923</v>
      </c>
      <c r="I6" s="24">
        <v>1.64</v>
      </c>
      <c r="J6" s="25">
        <f>F6/F5-1</f>
        <v>0.20037336652146842</v>
      </c>
      <c r="K6" s="26">
        <f t="shared" si="1"/>
        <v>1.0718954248366013E-2</v>
      </c>
      <c r="L6" s="27">
        <f t="shared" si="2"/>
        <v>13.235606720597378</v>
      </c>
      <c r="M6" s="27">
        <f>W6/E6</f>
        <v>6.78365636458879</v>
      </c>
      <c r="N6" s="39">
        <f t="shared" si="3"/>
        <v>0.22871274789350923</v>
      </c>
      <c r="O6" s="27">
        <f>U6/E6</f>
        <v>6.78365636458879</v>
      </c>
      <c r="P6" s="28">
        <f>D6*E6/W6</f>
        <v>20.641611613899617</v>
      </c>
      <c r="Q6" s="46">
        <v>9963</v>
      </c>
      <c r="R6" s="46">
        <v>5983</v>
      </c>
      <c r="S6" s="4">
        <v>1555</v>
      </c>
      <c r="T6" s="4">
        <v>1260</v>
      </c>
      <c r="U6" s="4">
        <v>1295</v>
      </c>
      <c r="V6" s="29">
        <f t="shared" si="4"/>
        <v>1.0277777777777777</v>
      </c>
      <c r="W6" s="4">
        <v>1295</v>
      </c>
      <c r="X6" s="4">
        <v>1440</v>
      </c>
      <c r="Y6" s="4">
        <v>506</v>
      </c>
      <c r="Z6" s="4">
        <v>572</v>
      </c>
      <c r="AA6" s="4">
        <v>96</v>
      </c>
      <c r="AB6" s="4">
        <f>1893+2826</f>
        <v>4719</v>
      </c>
      <c r="AC6" s="4">
        <v>500</v>
      </c>
      <c r="AD6" s="4">
        <v>0</v>
      </c>
      <c r="AE6" s="4">
        <v>5670</v>
      </c>
      <c r="AF6" s="4">
        <v>0</v>
      </c>
      <c r="AG6" s="4"/>
      <c r="AH6" s="4">
        <v>226</v>
      </c>
      <c r="AI6" s="4">
        <v>2081</v>
      </c>
      <c r="AJ6" s="4">
        <v>18000</v>
      </c>
      <c r="AK6" s="4">
        <v>10800</v>
      </c>
      <c r="AL6" s="4">
        <v>11300</v>
      </c>
      <c r="AM6" s="4">
        <v>4353</v>
      </c>
      <c r="AN6" s="5">
        <f t="shared" si="5"/>
        <v>13647</v>
      </c>
      <c r="AO6" s="30">
        <v>1635</v>
      </c>
      <c r="AP6" s="4">
        <v>860</v>
      </c>
      <c r="AQ6" s="4">
        <v>330</v>
      </c>
      <c r="AR6" s="13">
        <v>533</v>
      </c>
      <c r="AS6" s="31">
        <f t="shared" si="6"/>
        <v>574.33333333333337</v>
      </c>
      <c r="AT6" s="32">
        <v>1635</v>
      </c>
      <c r="AU6" s="32">
        <v>1826</v>
      </c>
      <c r="AV6" s="32">
        <v>1997</v>
      </c>
      <c r="AW6" s="32">
        <v>1260</v>
      </c>
      <c r="AX6" s="32">
        <v>713</v>
      </c>
      <c r="AY6" s="32">
        <v>656</v>
      </c>
      <c r="AZ6" s="33">
        <f t="shared" si="11"/>
        <v>2.0760745530620008</v>
      </c>
      <c r="BA6" s="34">
        <f t="shared" si="7"/>
        <v>1819.3333333333333</v>
      </c>
      <c r="BB6" s="41">
        <f t="shared" si="12"/>
        <v>1245</v>
      </c>
      <c r="BC6" s="42">
        <f t="shared" si="13"/>
        <v>8082</v>
      </c>
      <c r="BD6" s="43">
        <f t="shared" si="14"/>
        <v>14.071967498549041</v>
      </c>
      <c r="BE6" s="44">
        <f t="shared" si="8"/>
        <v>0.30234686892006707</v>
      </c>
      <c r="BF6" t="str">
        <f t="shared" si="9"/>
        <v>阿里巴巴</v>
      </c>
    </row>
    <row r="7" spans="1:58" x14ac:dyDescent="0.2">
      <c r="A7" s="21" t="s">
        <v>50</v>
      </c>
      <c r="B7" s="2" t="s">
        <v>47</v>
      </c>
      <c r="C7" s="2">
        <v>7</v>
      </c>
      <c r="D7" s="22">
        <f t="shared" si="15"/>
        <v>6.4063999999999997</v>
      </c>
      <c r="E7" s="4">
        <v>124.05</v>
      </c>
      <c r="F7" s="4">
        <f>0.41*7.1</f>
        <v>2.9109999999999996</v>
      </c>
      <c r="G7" s="5">
        <f t="shared" si="0"/>
        <v>794.71391999999992</v>
      </c>
      <c r="H7" s="23">
        <f>C7/F7</f>
        <v>2.4046719340432845</v>
      </c>
      <c r="I7" s="24">
        <v>0.38500000000000001</v>
      </c>
      <c r="J7" s="25">
        <v>0</v>
      </c>
      <c r="K7" s="26">
        <f t="shared" si="1"/>
        <v>5.5E-2</v>
      </c>
      <c r="L7" s="27">
        <f t="shared" si="2"/>
        <v>0.38500000000000001</v>
      </c>
      <c r="M7" s="27">
        <f>W7/E7</f>
        <v>8.1499395405078598E-2</v>
      </c>
      <c r="N7" s="26">
        <f t="shared" si="3"/>
        <v>0.13225695637238064</v>
      </c>
      <c r="O7" s="27">
        <f>U7/E7</f>
        <v>8.1499395405078598E-2</v>
      </c>
      <c r="P7" s="28">
        <f>D7*E7/W7/7.3</f>
        <v>10.768043575464413</v>
      </c>
      <c r="Q7" s="4">
        <v>568</v>
      </c>
      <c r="R7" s="4">
        <v>471</v>
      </c>
      <c r="S7" s="4">
        <v>13.9</v>
      </c>
      <c r="T7" s="4">
        <v>11</v>
      </c>
      <c r="U7" s="4">
        <v>10.11</v>
      </c>
      <c r="V7" s="29">
        <f t="shared" si="4"/>
        <v>0.91909090909090907</v>
      </c>
      <c r="W7" s="4">
        <v>10.11</v>
      </c>
      <c r="X7" s="4">
        <v>33</v>
      </c>
      <c r="Y7" s="4">
        <v>24.9</v>
      </c>
      <c r="Z7" s="2">
        <v>20.28</v>
      </c>
      <c r="AA7" s="4">
        <v>7.73</v>
      </c>
      <c r="AB7" s="4">
        <v>37</v>
      </c>
      <c r="AC7" s="4">
        <v>81.5</v>
      </c>
      <c r="AD7" s="4">
        <v>67</v>
      </c>
      <c r="AE7" s="4">
        <v>17.68</v>
      </c>
      <c r="AF7" s="4">
        <v>105</v>
      </c>
      <c r="AG7" s="4"/>
      <c r="AH7" s="4">
        <v>0.5</v>
      </c>
      <c r="AI7" s="4">
        <v>35.700000000000003</v>
      </c>
      <c r="AJ7" s="4">
        <v>387</v>
      </c>
      <c r="AK7" s="4">
        <v>60.8</v>
      </c>
      <c r="AL7" s="4">
        <v>163</v>
      </c>
      <c r="AM7" s="4">
        <v>261</v>
      </c>
      <c r="AN7" s="5">
        <f>AJ7-AM7</f>
        <v>126</v>
      </c>
      <c r="AO7" s="30">
        <v>20.11</v>
      </c>
      <c r="AP7" s="4">
        <v>7.3</v>
      </c>
      <c r="AQ7" s="4">
        <v>11.2</v>
      </c>
      <c r="AR7" s="13">
        <v>10</v>
      </c>
      <c r="AS7" s="31">
        <f>AVERAGE(AP7:AR7)</f>
        <v>9.5</v>
      </c>
      <c r="AT7" s="32">
        <v>20</v>
      </c>
      <c r="AU7" s="32">
        <v>28</v>
      </c>
      <c r="AV7" s="32">
        <v>41</v>
      </c>
      <c r="AW7" s="32">
        <v>11</v>
      </c>
      <c r="AX7" s="32">
        <v>16.8</v>
      </c>
      <c r="AY7" s="32">
        <v>21.5</v>
      </c>
      <c r="AZ7" s="33">
        <f t="shared" si="11"/>
        <v>1.8052738336713996</v>
      </c>
      <c r="BA7" s="34">
        <f t="shared" si="7"/>
        <v>29.666666666666668</v>
      </c>
      <c r="BB7" s="41">
        <f t="shared" si="12"/>
        <v>20.166666666666668</v>
      </c>
      <c r="BC7" s="34">
        <f t="shared" si="13"/>
        <v>18.479999999999997</v>
      </c>
      <c r="BD7" s="28">
        <f t="shared" si="14"/>
        <v>1.9452631578947366</v>
      </c>
      <c r="BE7" s="35">
        <f t="shared" si="8"/>
        <v>2.3253650823179237E-2</v>
      </c>
      <c r="BF7" t="str">
        <f t="shared" si="9"/>
        <v>联想集团</v>
      </c>
    </row>
    <row r="8" spans="1:58" x14ac:dyDescent="0.2">
      <c r="A8" s="36" t="s">
        <v>50</v>
      </c>
      <c r="B8" s="37" t="s">
        <v>51</v>
      </c>
      <c r="C8" s="38">
        <v>9.8000000000000007</v>
      </c>
      <c r="D8" s="22">
        <f t="shared" si="15"/>
        <v>8.9689600000000009</v>
      </c>
      <c r="E8" s="4">
        <v>124.05</v>
      </c>
      <c r="F8" s="4">
        <v>3.96</v>
      </c>
      <c r="G8" s="5">
        <f t="shared" si="0"/>
        <v>1112.5994880000001</v>
      </c>
      <c r="H8" s="23">
        <f>C8/F8</f>
        <v>2.4747474747474749</v>
      </c>
      <c r="I8" s="24">
        <v>0.38500000000000001</v>
      </c>
      <c r="J8" s="25">
        <v>9.6600000000000005E-2</v>
      </c>
      <c r="K8" s="26">
        <f t="shared" si="1"/>
        <v>3.9285714285714285E-2</v>
      </c>
      <c r="L8" s="27">
        <f t="shared" si="2"/>
        <v>0.767536</v>
      </c>
      <c r="M8" s="27">
        <v>1.03</v>
      </c>
      <c r="N8" s="39">
        <f t="shared" si="3"/>
        <v>0.19382222222222223</v>
      </c>
      <c r="O8" s="27">
        <f>U8/E8*[1]正常估值!D2</f>
        <v>0.79356027408303109</v>
      </c>
      <c r="P8" s="28">
        <f>G8/W8/[1]正常估值!D2</f>
        <v>11.302178666092814</v>
      </c>
      <c r="Q8" s="4">
        <v>691</v>
      </c>
      <c r="R8" s="4">
        <v>580</v>
      </c>
      <c r="S8" s="4">
        <v>15.01</v>
      </c>
      <c r="T8" s="4">
        <v>14.62</v>
      </c>
      <c r="U8" s="4">
        <v>13.84</v>
      </c>
      <c r="V8" s="29">
        <f t="shared" si="4"/>
        <v>0.94664842681258554</v>
      </c>
      <c r="W8" s="4">
        <v>13.84</v>
      </c>
      <c r="X8" s="4">
        <v>35.85</v>
      </c>
      <c r="Y8" s="4">
        <v>28.23</v>
      </c>
      <c r="Z8" s="2">
        <v>22.88</v>
      </c>
      <c r="AA8" s="4">
        <v>7.63</v>
      </c>
      <c r="AB8" s="4">
        <v>49</v>
      </c>
      <c r="AC8" s="4">
        <v>105.07</v>
      </c>
      <c r="AD8" s="4">
        <v>79</v>
      </c>
      <c r="AE8" s="4">
        <v>18.25</v>
      </c>
      <c r="AF8" s="4">
        <v>120</v>
      </c>
      <c r="AG8" s="4"/>
      <c r="AH8" s="4">
        <v>10.3</v>
      </c>
      <c r="AI8" s="4">
        <v>43.38</v>
      </c>
      <c r="AJ8" s="4">
        <v>442</v>
      </c>
      <c r="AK8" s="4">
        <v>66.599999999999994</v>
      </c>
      <c r="AL8" s="4">
        <v>161</v>
      </c>
      <c r="AM8" s="4">
        <v>300</v>
      </c>
      <c r="AN8" s="5">
        <f t="shared" si="5"/>
        <v>142</v>
      </c>
      <c r="AO8" s="30">
        <v>11</v>
      </c>
      <c r="AP8" s="4">
        <v>6.66</v>
      </c>
      <c r="AQ8" s="4">
        <v>7.3</v>
      </c>
      <c r="AR8" s="13">
        <v>11.2</v>
      </c>
      <c r="AS8" s="31">
        <f t="shared" si="6"/>
        <v>8.3866666666666667</v>
      </c>
      <c r="AT8" s="32">
        <v>11</v>
      </c>
      <c r="AU8" s="32">
        <v>20</v>
      </c>
      <c r="AV8" s="32">
        <v>28</v>
      </c>
      <c r="AW8" s="32">
        <v>14.62</v>
      </c>
      <c r="AX8" s="32">
        <v>11</v>
      </c>
      <c r="AY8" s="32">
        <v>16.8</v>
      </c>
      <c r="AZ8" s="33">
        <f t="shared" si="11"/>
        <v>1.3908533710513908</v>
      </c>
      <c r="BA8" s="34">
        <f t="shared" si="7"/>
        <v>19.666666666666668</v>
      </c>
      <c r="BB8" s="41">
        <f t="shared" si="12"/>
        <v>11.280000000000001</v>
      </c>
      <c r="BC8" s="42">
        <f t="shared" si="13"/>
        <v>13.57</v>
      </c>
      <c r="BD8" s="47">
        <f t="shared" si="14"/>
        <v>1.6180445151033387</v>
      </c>
      <c r="BE8" s="48">
        <f t="shared" si="8"/>
        <v>1.2196662093017249E-2</v>
      </c>
      <c r="BF8" t="str">
        <f t="shared" si="9"/>
        <v>联想集团</v>
      </c>
    </row>
    <row r="9" spans="1:58" x14ac:dyDescent="0.2">
      <c r="A9" s="21" t="s">
        <v>52</v>
      </c>
      <c r="B9" s="2" t="s">
        <v>46</v>
      </c>
      <c r="C9" s="2">
        <v>15</v>
      </c>
      <c r="D9" s="22">
        <f t="shared" si="15"/>
        <v>13.728</v>
      </c>
      <c r="E9" s="4">
        <v>249.55</v>
      </c>
      <c r="F9" s="4">
        <v>6.54</v>
      </c>
      <c r="G9" s="5">
        <f t="shared" si="0"/>
        <v>3425.8224</v>
      </c>
      <c r="H9" s="23">
        <f>C9/F9</f>
        <v>2.2935779816513762</v>
      </c>
      <c r="I9" s="24">
        <v>0</v>
      </c>
      <c r="J9" s="25">
        <v>0.09</v>
      </c>
      <c r="K9" s="26">
        <f t="shared" si="1"/>
        <v>0</v>
      </c>
      <c r="L9" s="27">
        <f t="shared" si="2"/>
        <v>0.58860000000000001</v>
      </c>
      <c r="M9" s="27">
        <f t="shared" ref="M9:M72" si="16">W9/E9</f>
        <v>0.70126227208976155</v>
      </c>
      <c r="N9" s="26">
        <f t="shared" si="3"/>
        <v>0.09</v>
      </c>
      <c r="O9" s="27">
        <f t="shared" ref="O9:O72" si="17">U9/E9</f>
        <v>0.70126227208976155</v>
      </c>
      <c r="P9" s="49">
        <f t="shared" ref="P9:P53" si="18">D9*E9/W9</f>
        <v>19.576128000000001</v>
      </c>
      <c r="Q9" s="4">
        <v>2710</v>
      </c>
      <c r="R9" s="4">
        <v>2135</v>
      </c>
      <c r="S9" s="4">
        <v>220</v>
      </c>
      <c r="T9" s="4">
        <v>175</v>
      </c>
      <c r="U9" s="4">
        <v>175</v>
      </c>
      <c r="V9" s="29">
        <f t="shared" si="4"/>
        <v>1</v>
      </c>
      <c r="W9" s="4">
        <v>175</v>
      </c>
      <c r="X9" s="4">
        <v>192</v>
      </c>
      <c r="Y9" s="4">
        <v>51</v>
      </c>
      <c r="Z9" s="2">
        <v>191</v>
      </c>
      <c r="AA9" s="4">
        <v>15.56</v>
      </c>
      <c r="AB9" s="4">
        <f>912+213</f>
        <v>1125</v>
      </c>
      <c r="AC9" s="4">
        <v>123</v>
      </c>
      <c r="AD9" s="4">
        <v>444</v>
      </c>
      <c r="AE9" s="4">
        <v>675</v>
      </c>
      <c r="AF9" s="4">
        <v>621</v>
      </c>
      <c r="AG9" s="4"/>
      <c r="AH9" s="4">
        <v>62</v>
      </c>
      <c r="AI9" s="4">
        <v>217</v>
      </c>
      <c r="AJ9" s="4">
        <v>3243</v>
      </c>
      <c r="AK9" s="4">
        <v>1643</v>
      </c>
      <c r="AL9" s="4">
        <v>1252</v>
      </c>
      <c r="AM9" s="4">
        <v>1156</v>
      </c>
      <c r="AN9" s="5">
        <f t="shared" si="5"/>
        <v>2087</v>
      </c>
      <c r="AO9" s="30">
        <v>413</v>
      </c>
      <c r="AP9" s="4">
        <v>63</v>
      </c>
      <c r="AQ9" s="4">
        <v>58</v>
      </c>
      <c r="AR9" s="13">
        <v>72</v>
      </c>
      <c r="AS9" s="28">
        <f t="shared" si="6"/>
        <v>64.333333333333329</v>
      </c>
      <c r="AT9" s="32">
        <v>98</v>
      </c>
      <c r="AU9" s="32">
        <v>-44</v>
      </c>
      <c r="AV9" s="32">
        <v>413</v>
      </c>
      <c r="AW9" s="32">
        <v>193</v>
      </c>
      <c r="AX9" s="32">
        <v>25</v>
      </c>
      <c r="AY9" s="32">
        <v>175</v>
      </c>
      <c r="AZ9" s="33">
        <f t="shared" si="11"/>
        <v>1.1882951653944021</v>
      </c>
      <c r="BA9" s="34">
        <f t="shared" si="7"/>
        <v>155.66666666666666</v>
      </c>
      <c r="BB9" s="41">
        <f t="shared" si="12"/>
        <v>91.333333333333329</v>
      </c>
      <c r="BC9" s="34">
        <f t="shared" si="13"/>
        <v>1521</v>
      </c>
      <c r="BD9" s="28">
        <f t="shared" si="14"/>
        <v>23.642487046632127</v>
      </c>
      <c r="BE9" s="35">
        <f t="shared" si="8"/>
        <v>0.44398098395293345</v>
      </c>
      <c r="BF9" t="str">
        <f t="shared" si="9"/>
        <v>小米集团</v>
      </c>
    </row>
    <row r="10" spans="1:58" x14ac:dyDescent="0.2">
      <c r="A10" s="50" t="s">
        <v>52</v>
      </c>
      <c r="B10" s="37" t="s">
        <v>47</v>
      </c>
      <c r="C10" s="38">
        <v>38</v>
      </c>
      <c r="D10" s="22">
        <f t="shared" si="15"/>
        <v>34.7776</v>
      </c>
      <c r="E10" s="4">
        <v>251.12</v>
      </c>
      <c r="F10" s="4">
        <v>7.52</v>
      </c>
      <c r="G10" s="5">
        <f t="shared" si="0"/>
        <v>8733.3509119999999</v>
      </c>
      <c r="H10" s="23">
        <f t="shared" si="10"/>
        <v>5.0531914893617023</v>
      </c>
      <c r="I10" s="24">
        <v>0</v>
      </c>
      <c r="J10" s="25">
        <f>F10/F9-1</f>
        <v>0.14984709480122316</v>
      </c>
      <c r="K10" s="26">
        <f t="shared" si="1"/>
        <v>0</v>
      </c>
      <c r="L10" s="27">
        <f t="shared" si="2"/>
        <v>1.1268501529051982</v>
      </c>
      <c r="M10" s="27">
        <f t="shared" si="16"/>
        <v>0.94377190187957949</v>
      </c>
      <c r="N10" s="39">
        <f t="shared" si="3"/>
        <v>0.14984709480122319</v>
      </c>
      <c r="O10" s="27">
        <f t="shared" si="17"/>
        <v>0.94377190187957949</v>
      </c>
      <c r="P10" s="49">
        <f t="shared" si="18"/>
        <v>36.849581907172997</v>
      </c>
      <c r="Q10" s="4">
        <v>3659</v>
      </c>
      <c r="R10" s="4">
        <v>2893</v>
      </c>
      <c r="S10" s="4">
        <v>279</v>
      </c>
      <c r="T10" s="4">
        <v>236</v>
      </c>
      <c r="U10" s="4">
        <v>237</v>
      </c>
      <c r="V10" s="29">
        <f t="shared" si="4"/>
        <v>1.0042372881355932</v>
      </c>
      <c r="W10" s="4">
        <v>237</v>
      </c>
      <c r="X10" s="4">
        <v>254</v>
      </c>
      <c r="Y10" s="4">
        <v>56</v>
      </c>
      <c r="Z10" s="2">
        <v>241</v>
      </c>
      <c r="AA10" s="4">
        <v>2.12</v>
      </c>
      <c r="AB10" s="4">
        <v>1060</v>
      </c>
      <c r="AC10" s="4">
        <v>158</v>
      </c>
      <c r="AD10" s="4">
        <v>625</v>
      </c>
      <c r="AE10" s="4">
        <v>715</v>
      </c>
      <c r="AF10" s="4">
        <v>983</v>
      </c>
      <c r="AG10" s="4"/>
      <c r="AH10" s="4">
        <v>133</v>
      </c>
      <c r="AI10" s="4">
        <v>173</v>
      </c>
      <c r="AJ10" s="4">
        <v>4031</v>
      </c>
      <c r="AK10" s="4">
        <v>1892</v>
      </c>
      <c r="AL10" s="4">
        <v>1774</v>
      </c>
      <c r="AM10" s="4">
        <v>1754</v>
      </c>
      <c r="AN10" s="5">
        <f t="shared" si="5"/>
        <v>2277</v>
      </c>
      <c r="AO10" s="30">
        <v>393</v>
      </c>
      <c r="AP10" s="4">
        <v>73</v>
      </c>
      <c r="AQ10" s="4">
        <v>63</v>
      </c>
      <c r="AR10" s="13">
        <v>58</v>
      </c>
      <c r="AS10" s="28">
        <f t="shared" si="6"/>
        <v>64.666666666666671</v>
      </c>
      <c r="AT10" s="32">
        <v>98</v>
      </c>
      <c r="AU10" s="32">
        <v>-44</v>
      </c>
      <c r="AV10" s="32">
        <v>413</v>
      </c>
      <c r="AW10" s="32">
        <v>193</v>
      </c>
      <c r="AX10" s="32">
        <v>25</v>
      </c>
      <c r="AY10" s="32">
        <v>175</v>
      </c>
      <c r="AZ10" s="33">
        <f t="shared" si="11"/>
        <v>1.1882951653944021</v>
      </c>
      <c r="BA10" s="40">
        <v>400</v>
      </c>
      <c r="BB10" s="41">
        <f t="shared" si="12"/>
        <v>335.33333333333331</v>
      </c>
      <c r="BC10" s="42">
        <f t="shared" si="13"/>
        <v>1469</v>
      </c>
      <c r="BD10" s="43">
        <f t="shared" si="14"/>
        <v>22.716494845360824</v>
      </c>
      <c r="BE10" s="44">
        <f t="shared" si="8"/>
        <v>0.16820576830154974</v>
      </c>
      <c r="BF10" t="str">
        <f t="shared" si="9"/>
        <v>小米集团</v>
      </c>
    </row>
    <row r="11" spans="1:58" x14ac:dyDescent="0.2">
      <c r="A11" s="21" t="s">
        <v>53</v>
      </c>
      <c r="B11" s="2" t="s">
        <v>46</v>
      </c>
      <c r="C11" s="2">
        <v>8.6</v>
      </c>
      <c r="D11" s="22">
        <f t="shared" si="15"/>
        <v>7.8707199999999995</v>
      </c>
      <c r="E11" s="4">
        <v>18.170000000000002</v>
      </c>
      <c r="F11" s="4">
        <v>7.01</v>
      </c>
      <c r="G11" s="5">
        <f t="shared" si="0"/>
        <v>143.01098240000002</v>
      </c>
      <c r="H11" s="51">
        <f>C11/F11</f>
        <v>1.2268188302425107</v>
      </c>
      <c r="I11" s="24">
        <v>0.4</v>
      </c>
      <c r="J11" s="25">
        <v>0.17</v>
      </c>
      <c r="K11" s="26">
        <f t="shared" si="1"/>
        <v>4.651162790697675E-2</v>
      </c>
      <c r="L11" s="27">
        <f t="shared" si="2"/>
        <v>1.5916999999999999</v>
      </c>
      <c r="M11" s="27">
        <f t="shared" si="16"/>
        <v>1.4859658778205833</v>
      </c>
      <c r="N11" s="26">
        <f t="shared" si="3"/>
        <v>0.22706134094151212</v>
      </c>
      <c r="O11" s="27">
        <f t="shared" si="17"/>
        <v>1.4859658778205833</v>
      </c>
      <c r="P11" s="49">
        <f t="shared" si="18"/>
        <v>5.2967030518518525</v>
      </c>
      <c r="Q11" s="52">
        <v>137</v>
      </c>
      <c r="R11" s="4">
        <v>74</v>
      </c>
      <c r="S11" s="4">
        <v>33.5</v>
      </c>
      <c r="T11" s="4">
        <v>27</v>
      </c>
      <c r="U11" s="4">
        <v>27</v>
      </c>
      <c r="V11" s="29">
        <f t="shared" si="4"/>
        <v>1</v>
      </c>
      <c r="W11" s="4">
        <v>27</v>
      </c>
      <c r="X11" s="4">
        <v>15.94</v>
      </c>
      <c r="Y11" s="4">
        <v>7.9</v>
      </c>
      <c r="Z11" s="2">
        <v>8.08</v>
      </c>
      <c r="AA11" s="4">
        <v>0.7</v>
      </c>
      <c r="AB11" s="4">
        <v>52.34</v>
      </c>
      <c r="AC11" s="4">
        <v>59</v>
      </c>
      <c r="AD11" s="4">
        <v>22</v>
      </c>
      <c r="AE11" s="4">
        <v>0.1</v>
      </c>
      <c r="AF11" s="4">
        <v>42</v>
      </c>
      <c r="AG11" s="4"/>
      <c r="AH11" s="4">
        <v>2</v>
      </c>
      <c r="AI11" s="4">
        <v>13</v>
      </c>
      <c r="AJ11" s="4">
        <v>210</v>
      </c>
      <c r="AK11" s="4">
        <v>127.5</v>
      </c>
      <c r="AL11" s="4">
        <v>72.3</v>
      </c>
      <c r="AM11" s="4">
        <v>66</v>
      </c>
      <c r="AN11" s="5">
        <f t="shared" si="5"/>
        <v>144</v>
      </c>
      <c r="AO11" s="30">
        <v>24.39</v>
      </c>
      <c r="AP11" s="4">
        <v>8.1999999999999993</v>
      </c>
      <c r="AQ11" s="4">
        <v>4.9000000000000004</v>
      </c>
      <c r="AR11" s="13">
        <v>5.3</v>
      </c>
      <c r="AS11" s="31">
        <f t="shared" si="6"/>
        <v>6.1333333333333329</v>
      </c>
      <c r="AT11" s="32">
        <v>15.43</v>
      </c>
      <c r="AU11" s="32">
        <v>20.3</v>
      </c>
      <c r="AV11" s="32">
        <v>24.4</v>
      </c>
      <c r="AW11" s="32">
        <v>9.8800000000000008</v>
      </c>
      <c r="AX11" s="32">
        <v>15.81</v>
      </c>
      <c r="AY11" s="32">
        <v>27</v>
      </c>
      <c r="AZ11" s="33">
        <f t="shared" si="11"/>
        <v>1.1412032643765422</v>
      </c>
      <c r="BA11" s="34">
        <f t="shared" si="7"/>
        <v>20.043333333333333</v>
      </c>
      <c r="BB11" s="41">
        <f t="shared" si="12"/>
        <v>13.91</v>
      </c>
      <c r="BC11" s="34">
        <f t="shared" si="13"/>
        <v>37.440000000000005</v>
      </c>
      <c r="BD11" s="28">
        <f t="shared" si="14"/>
        <v>6.1043478260869577</v>
      </c>
      <c r="BE11" s="35">
        <f t="shared" si="8"/>
        <v>0.26179807572596608</v>
      </c>
      <c r="BF11" t="str">
        <f t="shared" si="9"/>
        <v>联邦制药</v>
      </c>
    </row>
    <row r="12" spans="1:58" x14ac:dyDescent="0.2">
      <c r="A12" s="50" t="s">
        <v>53</v>
      </c>
      <c r="B12" s="37" t="s">
        <v>47</v>
      </c>
      <c r="C12" s="38">
        <v>12.8</v>
      </c>
      <c r="D12" s="22">
        <f t="shared" si="15"/>
        <v>11.714560000000001</v>
      </c>
      <c r="E12" s="4">
        <v>18.170000000000002</v>
      </c>
      <c r="F12" s="4">
        <v>7.92</v>
      </c>
      <c r="G12" s="5">
        <f t="shared" si="0"/>
        <v>212.85355520000002</v>
      </c>
      <c r="H12" s="51">
        <f t="shared" si="10"/>
        <v>1.6161616161616164</v>
      </c>
      <c r="I12" s="24">
        <v>0.56000000000000005</v>
      </c>
      <c r="J12" s="25">
        <f>F12/F11-1</f>
        <v>0.12981455064194014</v>
      </c>
      <c r="K12" s="26">
        <f t="shared" si="1"/>
        <v>4.3750000000000004E-2</v>
      </c>
      <c r="L12" s="27">
        <f t="shared" si="2"/>
        <v>1.5881312410841659</v>
      </c>
      <c r="M12" s="27">
        <f t="shared" si="16"/>
        <v>1.4859658778205833</v>
      </c>
      <c r="N12" s="39">
        <f t="shared" si="3"/>
        <v>0.20052162134901086</v>
      </c>
      <c r="O12" s="27">
        <f t="shared" si="17"/>
        <v>1.4859658778205833</v>
      </c>
      <c r="P12" s="49">
        <f t="shared" si="18"/>
        <v>7.8834650074074082</v>
      </c>
      <c r="Q12" s="52">
        <v>137</v>
      </c>
      <c r="R12" s="4">
        <v>77</v>
      </c>
      <c r="S12" s="4">
        <v>33</v>
      </c>
      <c r="T12" s="4">
        <v>27</v>
      </c>
      <c r="U12" s="4">
        <v>27</v>
      </c>
      <c r="V12" s="29">
        <f t="shared" si="4"/>
        <v>1</v>
      </c>
      <c r="W12" s="4">
        <v>27</v>
      </c>
      <c r="X12" s="4">
        <v>14</v>
      </c>
      <c r="Y12" s="4">
        <v>8.9</v>
      </c>
      <c r="Z12" s="2">
        <v>9.86</v>
      </c>
      <c r="AA12" s="4">
        <v>0.3</v>
      </c>
      <c r="AB12" s="4">
        <v>74</v>
      </c>
      <c r="AC12" s="4">
        <v>57</v>
      </c>
      <c r="AD12" s="4">
        <v>24</v>
      </c>
      <c r="AE12" s="4">
        <v>0.1</v>
      </c>
      <c r="AF12" s="4">
        <v>42</v>
      </c>
      <c r="AG12" s="4"/>
      <c r="AH12" s="4">
        <v>8.35</v>
      </c>
      <c r="AI12" s="4">
        <v>23</v>
      </c>
      <c r="AJ12" s="4">
        <v>258</v>
      </c>
      <c r="AK12" s="4">
        <v>144</v>
      </c>
      <c r="AL12" s="4">
        <v>97.6</v>
      </c>
      <c r="AM12" s="4">
        <v>88</v>
      </c>
      <c r="AN12" s="5">
        <f t="shared" si="5"/>
        <v>170</v>
      </c>
      <c r="AO12" s="30">
        <v>38</v>
      </c>
      <c r="AP12" s="4">
        <v>14.62</v>
      </c>
      <c r="AQ12" s="4">
        <v>8.1999999999999993</v>
      </c>
      <c r="AR12" s="13">
        <v>4.9000000000000004</v>
      </c>
      <c r="AS12" s="31">
        <f t="shared" si="6"/>
        <v>9.24</v>
      </c>
      <c r="AT12" s="32">
        <v>15.43</v>
      </c>
      <c r="AU12" s="32">
        <v>20.3</v>
      </c>
      <c r="AV12" s="32">
        <v>24.4</v>
      </c>
      <c r="AW12" s="32">
        <v>9.8800000000000008</v>
      </c>
      <c r="AX12" s="32">
        <v>15.81</v>
      </c>
      <c r="AY12" s="32">
        <v>27</v>
      </c>
      <c r="AZ12" s="33">
        <f t="shared" si="11"/>
        <v>1.1412032643765422</v>
      </c>
      <c r="BA12" s="34">
        <f t="shared" si="7"/>
        <v>20.043333333333333</v>
      </c>
      <c r="BB12" s="41">
        <f t="shared" si="12"/>
        <v>10.803333333333333</v>
      </c>
      <c r="BC12" s="42">
        <f t="shared" si="13"/>
        <v>42.75</v>
      </c>
      <c r="BD12" s="43">
        <f t="shared" si="14"/>
        <v>4.6266233766233764</v>
      </c>
      <c r="BE12" s="44">
        <f t="shared" si="8"/>
        <v>0.20084231132447627</v>
      </c>
      <c r="BF12" t="str">
        <f t="shared" si="9"/>
        <v>联邦制药</v>
      </c>
    </row>
    <row r="13" spans="1:58" x14ac:dyDescent="0.2">
      <c r="A13" s="21" t="s">
        <v>54</v>
      </c>
      <c r="B13" s="2" t="s">
        <v>46</v>
      </c>
      <c r="C13" s="2">
        <v>16.96</v>
      </c>
      <c r="D13" s="22">
        <f t="shared" si="15"/>
        <v>15.521792000000001</v>
      </c>
      <c r="E13" s="4">
        <v>475.67</v>
      </c>
      <c r="F13" s="4">
        <v>14.01</v>
      </c>
      <c r="G13" s="5">
        <f t="shared" si="0"/>
        <v>7383.2508006400012</v>
      </c>
      <c r="H13" s="51">
        <f>C13/F13</f>
        <v>1.2105638829407568</v>
      </c>
      <c r="I13" s="24">
        <f>0.66+0.6</f>
        <v>1.26</v>
      </c>
      <c r="J13" s="25">
        <v>0.14000000000000001</v>
      </c>
      <c r="K13" s="26">
        <f t="shared" si="1"/>
        <v>7.4292452830188677E-2</v>
      </c>
      <c r="L13" s="27">
        <f t="shared" si="2"/>
        <v>3.2214</v>
      </c>
      <c r="M13" s="27">
        <f t="shared" si="16"/>
        <v>2.6320768600079885</v>
      </c>
      <c r="N13" s="26">
        <f t="shared" si="3"/>
        <v>0.22993576017130621</v>
      </c>
      <c r="O13" s="27">
        <f t="shared" si="17"/>
        <v>2.6026446906468768</v>
      </c>
      <c r="P13" s="49">
        <f t="shared" si="18"/>
        <v>5.8971651762300326</v>
      </c>
      <c r="Q13" s="52">
        <v>4166</v>
      </c>
      <c r="R13" s="4">
        <v>1078</v>
      </c>
      <c r="S13" s="4">
        <v>1710</v>
      </c>
      <c r="T13" s="4">
        <v>1241</v>
      </c>
      <c r="U13" s="4">
        <v>1238</v>
      </c>
      <c r="V13" s="29">
        <f t="shared" si="4"/>
        <v>0.99758259468170829</v>
      </c>
      <c r="W13" s="4">
        <v>1252</v>
      </c>
      <c r="X13" s="4">
        <v>35</v>
      </c>
      <c r="Y13" s="4">
        <v>70</v>
      </c>
      <c r="Z13" s="2">
        <v>16</v>
      </c>
      <c r="AA13" s="4">
        <v>54</v>
      </c>
      <c r="AB13" s="4">
        <v>1948</v>
      </c>
      <c r="AC13" s="4">
        <v>370</v>
      </c>
      <c r="AD13" s="4">
        <v>65</v>
      </c>
      <c r="AE13" s="4">
        <v>646</v>
      </c>
      <c r="AF13" s="4">
        <v>614</v>
      </c>
      <c r="AG13" s="4"/>
      <c r="AH13" s="4">
        <v>241</v>
      </c>
      <c r="AI13" s="4">
        <v>961</v>
      </c>
      <c r="AJ13" s="4">
        <v>10100</v>
      </c>
      <c r="AK13" s="4">
        <v>6679</v>
      </c>
      <c r="AL13" s="4">
        <v>7553</v>
      </c>
      <c r="AM13" s="4">
        <v>1239</v>
      </c>
      <c r="AN13" s="5">
        <f t="shared" si="5"/>
        <v>8861</v>
      </c>
      <c r="AO13" s="30">
        <v>2097</v>
      </c>
      <c r="AP13" s="4">
        <v>1209</v>
      </c>
      <c r="AQ13" s="4">
        <v>947</v>
      </c>
      <c r="AR13" s="13">
        <v>731</v>
      </c>
      <c r="AS13" s="28">
        <f>AVERAGE(AP13:AR13)</f>
        <v>962.33333333333337</v>
      </c>
      <c r="AT13" s="32">
        <v>1479</v>
      </c>
      <c r="AU13" s="32">
        <v>2056</v>
      </c>
      <c r="AV13" s="32">
        <v>2097</v>
      </c>
      <c r="AW13" s="32">
        <v>703</v>
      </c>
      <c r="AX13" s="32">
        <v>1417</v>
      </c>
      <c r="AY13" s="32">
        <v>1238</v>
      </c>
      <c r="AZ13" s="33">
        <f t="shared" si="11"/>
        <v>1.6771888028588446</v>
      </c>
      <c r="BA13" s="34">
        <f t="shared" si="7"/>
        <v>1877.3333333333333</v>
      </c>
      <c r="BB13" s="41">
        <f t="shared" si="12"/>
        <v>914.99999999999989</v>
      </c>
      <c r="BC13" s="34">
        <f t="shared" si="13"/>
        <v>1392</v>
      </c>
      <c r="BD13" s="28">
        <f t="shared" si="14"/>
        <v>1.4464842396951854</v>
      </c>
      <c r="BE13" s="35">
        <f t="shared" si="8"/>
        <v>0.18853483886519709</v>
      </c>
      <c r="BF13" t="str">
        <f t="shared" si="9"/>
        <v>中国海油</v>
      </c>
    </row>
    <row r="14" spans="1:58" x14ac:dyDescent="0.2">
      <c r="A14" s="50" t="s">
        <v>54</v>
      </c>
      <c r="B14" s="37" t="s">
        <v>47</v>
      </c>
      <c r="C14" s="38">
        <v>21</v>
      </c>
      <c r="D14" s="22">
        <f t="shared" si="15"/>
        <v>19.219200000000001</v>
      </c>
      <c r="E14" s="4">
        <v>475.3</v>
      </c>
      <c r="F14" s="4">
        <v>15.73</v>
      </c>
      <c r="G14" s="5">
        <f t="shared" si="0"/>
        <v>9134.885760000001</v>
      </c>
      <c r="H14" s="51">
        <f t="shared" si="10"/>
        <v>1.3350286077558804</v>
      </c>
      <c r="I14" s="24">
        <v>1.4</v>
      </c>
      <c r="J14" s="25">
        <f>F14/F13-1</f>
        <v>0.1227694503925767</v>
      </c>
      <c r="K14" s="26">
        <f t="shared" si="1"/>
        <v>6.6666666666666666E-2</v>
      </c>
      <c r="L14" s="27">
        <f t="shared" si="2"/>
        <v>3.3311634546752313</v>
      </c>
      <c r="M14" s="27">
        <f t="shared" si="16"/>
        <v>3.0780559646539025</v>
      </c>
      <c r="N14" s="39">
        <f t="shared" si="3"/>
        <v>0.21177135757630206</v>
      </c>
      <c r="O14" s="27">
        <f t="shared" si="17"/>
        <v>2.9013254786450662</v>
      </c>
      <c r="P14" s="49">
        <f t="shared" si="18"/>
        <v>6.2439410526315795</v>
      </c>
      <c r="Q14" s="52">
        <v>4205</v>
      </c>
      <c r="R14" s="4">
        <v>786</v>
      </c>
      <c r="S14" s="4">
        <v>1881</v>
      </c>
      <c r="T14" s="4">
        <v>1380</v>
      </c>
      <c r="U14" s="4">
        <v>1379</v>
      </c>
      <c r="V14" s="29">
        <f t="shared" si="4"/>
        <v>0.99927536231884062</v>
      </c>
      <c r="W14" s="4">
        <v>1463</v>
      </c>
      <c r="X14" s="4">
        <v>35</v>
      </c>
      <c r="Y14" s="4">
        <v>70</v>
      </c>
      <c r="Z14" s="2">
        <v>16</v>
      </c>
      <c r="AA14" s="4">
        <v>61</v>
      </c>
      <c r="AB14" s="4">
        <f>1542+458</f>
        <v>2000</v>
      </c>
      <c r="AC14" s="4">
        <v>337</v>
      </c>
      <c r="AD14" s="4">
        <v>181</v>
      </c>
      <c r="AE14" s="4">
        <v>570</v>
      </c>
      <c r="AF14" s="4">
        <v>597</v>
      </c>
      <c r="AG14" s="4"/>
      <c r="AH14" s="4">
        <v>224</v>
      </c>
      <c r="AI14" s="4">
        <v>695</v>
      </c>
      <c r="AJ14" s="4">
        <v>10600</v>
      </c>
      <c r="AK14" s="4">
        <v>7494</v>
      </c>
      <c r="AL14" s="4">
        <v>7917</v>
      </c>
      <c r="AM14" s="4">
        <v>1189</v>
      </c>
      <c r="AN14" s="5">
        <f t="shared" si="5"/>
        <v>9411</v>
      </c>
      <c r="AO14" s="30">
        <v>2209</v>
      </c>
      <c r="AP14" s="4">
        <v>1234</v>
      </c>
      <c r="AQ14" s="4">
        <v>1209</v>
      </c>
      <c r="AR14" s="13">
        <v>947</v>
      </c>
      <c r="AS14" s="28">
        <f t="shared" si="6"/>
        <v>1130</v>
      </c>
      <c r="AT14" s="32">
        <v>2056</v>
      </c>
      <c r="AU14" s="32">
        <v>2097</v>
      </c>
      <c r="AV14" s="32">
        <v>2209</v>
      </c>
      <c r="AW14" s="32">
        <v>1417</v>
      </c>
      <c r="AX14" s="32">
        <v>1238</v>
      </c>
      <c r="AY14" s="32">
        <v>1380</v>
      </c>
      <c r="AZ14" s="33">
        <f t="shared" si="11"/>
        <v>1.5767038413878562</v>
      </c>
      <c r="BA14" s="34">
        <f t="shared" si="7"/>
        <v>2120.6666666666665</v>
      </c>
      <c r="BB14" s="41">
        <f t="shared" si="12"/>
        <v>990.66666666666652</v>
      </c>
      <c r="BC14" s="42">
        <f t="shared" si="13"/>
        <v>1651</v>
      </c>
      <c r="BD14" s="47">
        <f t="shared" si="14"/>
        <v>1.4610619469026549</v>
      </c>
      <c r="BE14" s="44">
        <f t="shared" si="8"/>
        <v>0.18073570303740721</v>
      </c>
      <c r="BF14" t="str">
        <f t="shared" si="9"/>
        <v>中国海油</v>
      </c>
    </row>
    <row r="15" spans="1:58" x14ac:dyDescent="0.2">
      <c r="A15" s="53" t="s">
        <v>55</v>
      </c>
      <c r="B15" s="2" t="s">
        <v>46</v>
      </c>
      <c r="C15" s="2">
        <v>62</v>
      </c>
      <c r="D15" s="22">
        <f t="shared" si="15"/>
        <v>56.742400000000004</v>
      </c>
      <c r="E15" s="4">
        <v>214.14</v>
      </c>
      <c r="F15" s="4">
        <v>62.72</v>
      </c>
      <c r="G15" s="5">
        <f t="shared" si="0"/>
        <v>12150.817536</v>
      </c>
      <c r="H15" s="51">
        <f>C15/F15</f>
        <v>0.98852040816326536</v>
      </c>
      <c r="I15" s="24">
        <v>4.8</v>
      </c>
      <c r="J15" s="25">
        <v>0.03</v>
      </c>
      <c r="K15" s="26">
        <f t="shared" si="1"/>
        <v>7.7419354838709681E-2</v>
      </c>
      <c r="L15" s="27">
        <f t="shared" si="2"/>
        <v>6.6815999999999995</v>
      </c>
      <c r="M15" s="27">
        <f t="shared" si="16"/>
        <v>5.510413748015317</v>
      </c>
      <c r="N15" s="26">
        <f t="shared" si="3"/>
        <v>0.10653061224489796</v>
      </c>
      <c r="O15" s="27">
        <f t="shared" si="17"/>
        <v>6.150182123844214</v>
      </c>
      <c r="P15" s="54">
        <f t="shared" si="18"/>
        <v>10.297302996610171</v>
      </c>
      <c r="Q15" s="4">
        <v>10100</v>
      </c>
      <c r="R15" s="4">
        <v>4117</v>
      </c>
      <c r="S15" s="4">
        <v>1616</v>
      </c>
      <c r="T15" s="4">
        <v>1319</v>
      </c>
      <c r="U15" s="4">
        <v>1317</v>
      </c>
      <c r="V15" s="29">
        <f t="shared" si="4"/>
        <v>0.99848369977255491</v>
      </c>
      <c r="W15" s="4">
        <v>1180</v>
      </c>
      <c r="X15" s="4">
        <v>525</v>
      </c>
      <c r="Y15" s="4">
        <v>560</v>
      </c>
      <c r="Z15" s="2">
        <v>287</v>
      </c>
      <c r="AA15" s="4">
        <v>37</v>
      </c>
      <c r="AB15" s="4">
        <f>1788+1560</f>
        <v>3348</v>
      </c>
      <c r="AC15" s="4">
        <v>561</v>
      </c>
      <c r="AD15" s="4">
        <v>120</v>
      </c>
      <c r="AE15" s="4">
        <f>1817+5+1856</f>
        <v>3678</v>
      </c>
      <c r="AF15" s="4">
        <v>3240</v>
      </c>
      <c r="AG15" s="4"/>
      <c r="AH15" s="4">
        <v>0</v>
      </c>
      <c r="AI15" s="4">
        <v>0</v>
      </c>
      <c r="AJ15" s="4">
        <v>19600</v>
      </c>
      <c r="AK15" s="4">
        <v>13100</v>
      </c>
      <c r="AL15" s="4">
        <v>14900</v>
      </c>
      <c r="AM15" s="4">
        <v>5586</v>
      </c>
      <c r="AN15" s="5">
        <f t="shared" si="5"/>
        <v>14014</v>
      </c>
      <c r="AO15" s="30">
        <v>3037</v>
      </c>
      <c r="AP15" s="4">
        <v>1812</v>
      </c>
      <c r="AQ15" s="4">
        <v>1896</v>
      </c>
      <c r="AR15" s="13">
        <v>2027</v>
      </c>
      <c r="AS15" s="28">
        <f>AVERAGE(AP15:AR15)</f>
        <v>1911.6666666666667</v>
      </c>
      <c r="AT15" s="32">
        <v>3147</v>
      </c>
      <c r="AU15" s="32">
        <v>2807</v>
      </c>
      <c r="AV15" s="32">
        <v>3037</v>
      </c>
      <c r="AW15" s="32">
        <v>1160</v>
      </c>
      <c r="AX15" s="32">
        <v>1255</v>
      </c>
      <c r="AY15" s="32">
        <v>1318</v>
      </c>
      <c r="AZ15" s="33">
        <f t="shared" si="11"/>
        <v>2.4085186177337263</v>
      </c>
      <c r="BA15" s="34">
        <f t="shared" si="7"/>
        <v>2997</v>
      </c>
      <c r="BB15" s="41">
        <f t="shared" si="12"/>
        <v>1085.3333333333333</v>
      </c>
      <c r="BC15" s="34">
        <f t="shared" si="13"/>
        <v>7026</v>
      </c>
      <c r="BD15" s="28">
        <f t="shared" si="14"/>
        <v>3.6753269398430688</v>
      </c>
      <c r="BE15" s="35">
        <f t="shared" si="8"/>
        <v>0.57823269744472938</v>
      </c>
      <c r="BF15" t="str">
        <f t="shared" si="9"/>
        <v>中国移动</v>
      </c>
    </row>
    <row r="16" spans="1:58" x14ac:dyDescent="0.2">
      <c r="A16" s="1" t="s">
        <v>55</v>
      </c>
      <c r="B16" s="37" t="s">
        <v>47</v>
      </c>
      <c r="C16" s="2">
        <v>80</v>
      </c>
      <c r="D16" s="22">
        <f t="shared" si="15"/>
        <v>73.216000000000008</v>
      </c>
      <c r="E16" s="4">
        <v>215.27</v>
      </c>
      <c r="F16" s="4">
        <v>64.69</v>
      </c>
      <c r="G16" s="5">
        <f t="shared" si="0"/>
        <v>15761.208320000003</v>
      </c>
      <c r="H16" s="51">
        <f t="shared" si="10"/>
        <v>1.2366671819446591</v>
      </c>
      <c r="I16" s="24">
        <f>2.49+2.6</f>
        <v>5.09</v>
      </c>
      <c r="J16" s="25">
        <f>F16/F15-1</f>
        <v>3.1409438775510168E-2</v>
      </c>
      <c r="K16" s="26">
        <f t="shared" si="1"/>
        <v>6.3625000000000001E-2</v>
      </c>
      <c r="L16" s="27">
        <f t="shared" si="2"/>
        <v>7.1218765943877527</v>
      </c>
      <c r="M16" s="27">
        <f t="shared" si="16"/>
        <v>5.6998188321642589</v>
      </c>
      <c r="N16" s="26">
        <f t="shared" si="3"/>
        <v>0.11009238822673911</v>
      </c>
      <c r="O16" s="27">
        <f t="shared" si="17"/>
        <v>6.4291355042504756</v>
      </c>
      <c r="P16" s="54">
        <f t="shared" si="18"/>
        <v>12.845320554197231</v>
      </c>
      <c r="Q16" s="4">
        <v>10400</v>
      </c>
      <c r="R16" s="4">
        <v>4325</v>
      </c>
      <c r="S16" s="4">
        <v>1505</v>
      </c>
      <c r="T16" s="4">
        <v>1385</v>
      </c>
      <c r="U16" s="4">
        <v>1384</v>
      </c>
      <c r="V16" s="29">
        <f t="shared" si="4"/>
        <v>0.99927797833935017</v>
      </c>
      <c r="W16" s="4">
        <v>1227</v>
      </c>
      <c r="X16" s="4">
        <v>546</v>
      </c>
      <c r="Y16" s="4">
        <v>569</v>
      </c>
      <c r="Z16" s="2">
        <v>281</v>
      </c>
      <c r="AA16" s="4">
        <v>33</v>
      </c>
      <c r="AB16" s="4">
        <f>2423+1532</f>
        <v>3955</v>
      </c>
      <c r="AC16" s="4">
        <v>768</v>
      </c>
      <c r="AD16" s="4">
        <v>112</v>
      </c>
      <c r="AE16" s="4">
        <f>1986+31+2094</f>
        <v>4111</v>
      </c>
      <c r="AF16" s="4">
        <v>3952</v>
      </c>
      <c r="AG16" s="4"/>
      <c r="AH16" s="4">
        <v>0</v>
      </c>
      <c r="AI16" s="4">
        <v>0</v>
      </c>
      <c r="AJ16" s="4">
        <v>20700</v>
      </c>
      <c r="AK16" s="4">
        <v>13600</v>
      </c>
      <c r="AL16" s="4">
        <v>15400</v>
      </c>
      <c r="AM16" s="4">
        <v>6330</v>
      </c>
      <c r="AN16" s="5">
        <f t="shared" si="5"/>
        <v>14370</v>
      </c>
      <c r="AO16" s="30">
        <v>3157</v>
      </c>
      <c r="AP16" s="4">
        <v>1560</v>
      </c>
      <c r="AQ16" s="4">
        <v>1812</v>
      </c>
      <c r="AR16" s="13">
        <v>1896</v>
      </c>
      <c r="AS16" s="28">
        <f t="shared" si="6"/>
        <v>1756</v>
      </c>
      <c r="AT16" s="32">
        <v>2807</v>
      </c>
      <c r="AU16" s="32">
        <v>3037</v>
      </c>
      <c r="AV16" s="32">
        <v>3157</v>
      </c>
      <c r="AW16" s="32">
        <v>1255</v>
      </c>
      <c r="AX16" s="32">
        <v>1318</v>
      </c>
      <c r="AY16" s="32">
        <v>1384</v>
      </c>
      <c r="AZ16" s="33">
        <f t="shared" si="11"/>
        <v>2.2747030578721255</v>
      </c>
      <c r="BA16" s="34">
        <f t="shared" si="7"/>
        <v>3000.3333333333335</v>
      </c>
      <c r="BB16" s="41">
        <f t="shared" si="12"/>
        <v>1244.3333333333335</v>
      </c>
      <c r="BC16" s="34">
        <f t="shared" si="13"/>
        <v>8066</v>
      </c>
      <c r="BD16" s="28">
        <f t="shared" si="14"/>
        <v>4.5933940774487469</v>
      </c>
      <c r="BE16" s="44">
        <f t="shared" si="8"/>
        <v>0.51176279357749133</v>
      </c>
      <c r="BF16" t="str">
        <f t="shared" si="9"/>
        <v>中国移动</v>
      </c>
    </row>
    <row r="17" spans="1:58" s="60" customFormat="1" x14ac:dyDescent="0.2">
      <c r="A17" s="53" t="s">
        <v>56</v>
      </c>
      <c r="B17" s="4" t="s">
        <v>46</v>
      </c>
      <c r="C17" s="4">
        <v>3.81</v>
      </c>
      <c r="D17" s="55">
        <f t="shared" si="15"/>
        <v>3.4869120000000002</v>
      </c>
      <c r="E17" s="4">
        <v>915.07</v>
      </c>
      <c r="F17" s="4">
        <v>4.84</v>
      </c>
      <c r="G17" s="5">
        <f t="shared" si="0"/>
        <v>3190.7685638400003</v>
      </c>
      <c r="H17" s="56">
        <f>C17/F17</f>
        <v>0.78719008264462809</v>
      </c>
      <c r="I17" s="24">
        <v>0.23319999999999999</v>
      </c>
      <c r="J17" s="25">
        <v>2.5000000000000001E-2</v>
      </c>
      <c r="K17" s="57">
        <f>I17/D17</f>
        <v>6.6878659398344434E-2</v>
      </c>
      <c r="L17" s="27">
        <f t="shared" si="2"/>
        <v>0.35419999999999996</v>
      </c>
      <c r="M17" s="27">
        <f t="shared" si="16"/>
        <v>0.31363720808244178</v>
      </c>
      <c r="N17" s="26">
        <f t="shared" si="3"/>
        <v>7.3181818181818181E-2</v>
      </c>
      <c r="O17" s="27">
        <f t="shared" si="17"/>
        <v>0.33221502180161078</v>
      </c>
      <c r="P17" s="58">
        <f t="shared" si="18"/>
        <v>11.11766050118467</v>
      </c>
      <c r="Q17" s="4">
        <v>5135</v>
      </c>
      <c r="R17" s="4">
        <v>0</v>
      </c>
      <c r="S17" s="4">
        <v>371</v>
      </c>
      <c r="T17" s="4">
        <v>304</v>
      </c>
      <c r="U17" s="4">
        <v>304</v>
      </c>
      <c r="V17" s="29">
        <f t="shared" si="4"/>
        <v>1</v>
      </c>
      <c r="W17" s="4">
        <v>287</v>
      </c>
      <c r="X17" s="4">
        <v>668</v>
      </c>
      <c r="Y17" s="4">
        <v>357</v>
      </c>
      <c r="Z17" s="4">
        <v>131</v>
      </c>
      <c r="AA17" s="4">
        <v>25.45</v>
      </c>
      <c r="AB17" s="4">
        <v>918.5</v>
      </c>
      <c r="AC17" s="4">
        <v>322</v>
      </c>
      <c r="AD17" s="4">
        <v>34</v>
      </c>
      <c r="AE17" s="4">
        <v>432</v>
      </c>
      <c r="AF17" s="4">
        <v>1459</v>
      </c>
      <c r="AG17" s="4"/>
      <c r="AH17" s="4">
        <v>28</v>
      </c>
      <c r="AI17" s="4">
        <v>51</v>
      </c>
      <c r="AJ17" s="4">
        <v>8358</v>
      </c>
      <c r="AK17" s="4">
        <v>4472</v>
      </c>
      <c r="AL17" s="4">
        <v>6628</v>
      </c>
      <c r="AM17" s="4">
        <v>3108</v>
      </c>
      <c r="AN17" s="5">
        <f t="shared" si="5"/>
        <v>5250</v>
      </c>
      <c r="AO17" s="32">
        <v>1386</v>
      </c>
      <c r="AP17" s="4">
        <v>902</v>
      </c>
      <c r="AQ17" s="4">
        <v>915</v>
      </c>
      <c r="AR17" s="13">
        <v>852</v>
      </c>
      <c r="AS17" s="59">
        <f>AVERAGE(AP17:AR17)</f>
        <v>889.66666666666663</v>
      </c>
      <c r="AT17" s="32">
        <v>1375</v>
      </c>
      <c r="AU17" s="32">
        <v>1364</v>
      </c>
      <c r="AV17" s="32">
        <v>1375</v>
      </c>
      <c r="AW17" s="32">
        <v>259</v>
      </c>
      <c r="AX17" s="32">
        <v>276</v>
      </c>
      <c r="AY17" s="32">
        <v>304</v>
      </c>
      <c r="AZ17" s="33">
        <f t="shared" si="11"/>
        <v>4.9034564958283671</v>
      </c>
      <c r="BA17" s="34">
        <f t="shared" si="7"/>
        <v>1371.3333333333333</v>
      </c>
      <c r="BB17" s="41">
        <f t="shared" si="12"/>
        <v>481.66666666666663</v>
      </c>
      <c r="BC17" s="34">
        <f t="shared" si="13"/>
        <v>1271.5</v>
      </c>
      <c r="BD17" s="28">
        <f t="shared" si="14"/>
        <v>1.4291869614087673</v>
      </c>
      <c r="BE17" s="35">
        <f t="shared" si="8"/>
        <v>0.39849333305132778</v>
      </c>
      <c r="BF17" s="60" t="str">
        <f t="shared" si="9"/>
        <v>中国电信</v>
      </c>
    </row>
    <row r="18" spans="1:58" s="60" customFormat="1" x14ac:dyDescent="0.2">
      <c r="A18" s="61" t="s">
        <v>56</v>
      </c>
      <c r="B18" s="37" t="s">
        <v>47</v>
      </c>
      <c r="C18" s="4">
        <v>6.25</v>
      </c>
      <c r="D18" s="55">
        <f t="shared" si="15"/>
        <v>5.72</v>
      </c>
      <c r="E18" s="4">
        <v>915.07</v>
      </c>
      <c r="F18" s="4">
        <v>4.9400000000000004</v>
      </c>
      <c r="G18" s="5">
        <f t="shared" si="0"/>
        <v>5234.2003999999997</v>
      </c>
      <c r="H18" s="56">
        <f>C18/F18</f>
        <v>1.2651821862348178</v>
      </c>
      <c r="I18" s="24">
        <v>0.25979999999999998</v>
      </c>
      <c r="J18" s="25">
        <f>F18/F17-1</f>
        <v>2.0661157024793431E-2</v>
      </c>
      <c r="K18" s="57">
        <f>I18/D18</f>
        <v>4.541958041958042E-2</v>
      </c>
      <c r="L18" s="27">
        <f t="shared" si="2"/>
        <v>0.36186611570247951</v>
      </c>
      <c r="M18" s="27">
        <f t="shared" si="16"/>
        <v>0.33549345951675824</v>
      </c>
      <c r="N18" s="26">
        <f t="shared" si="3"/>
        <v>7.3252250142202324E-2</v>
      </c>
      <c r="O18" s="27">
        <f t="shared" si="17"/>
        <v>0.36062814866622223</v>
      </c>
      <c r="P18" s="58">
        <f t="shared" si="18"/>
        <v>17.049512703583062</v>
      </c>
      <c r="Q18" s="4">
        <v>5294</v>
      </c>
      <c r="R18" s="4">
        <v>0</v>
      </c>
      <c r="S18" s="4">
        <v>420</v>
      </c>
      <c r="T18" s="4">
        <v>330</v>
      </c>
      <c r="U18" s="4">
        <v>330</v>
      </c>
      <c r="V18" s="29">
        <f t="shared" si="4"/>
        <v>1</v>
      </c>
      <c r="W18" s="4">
        <v>307</v>
      </c>
      <c r="X18" s="4">
        <v>667</v>
      </c>
      <c r="Y18" s="4">
        <v>371</v>
      </c>
      <c r="Z18" s="4">
        <v>145</v>
      </c>
      <c r="AA18" s="4">
        <v>24</v>
      </c>
      <c r="AB18" s="4">
        <v>1020</v>
      </c>
      <c r="AC18" s="4">
        <v>429</v>
      </c>
      <c r="AD18" s="4">
        <v>32</v>
      </c>
      <c r="AE18" s="4">
        <v>442</v>
      </c>
      <c r="AF18" s="4">
        <v>1605</v>
      </c>
      <c r="AG18" s="4"/>
      <c r="AH18" s="4">
        <v>28</v>
      </c>
      <c r="AI18" s="4">
        <v>75</v>
      </c>
      <c r="AJ18" s="4">
        <v>8666</v>
      </c>
      <c r="AK18" s="4">
        <v>4565</v>
      </c>
      <c r="AL18" s="4">
        <v>6628</v>
      </c>
      <c r="AM18" s="4">
        <v>3108</v>
      </c>
      <c r="AN18" s="5">
        <f t="shared" si="5"/>
        <v>5558</v>
      </c>
      <c r="AO18" s="32">
        <v>1452</v>
      </c>
      <c r="AP18" s="4">
        <v>903</v>
      </c>
      <c r="AQ18" s="4">
        <v>902</v>
      </c>
      <c r="AR18" s="13">
        <v>915</v>
      </c>
      <c r="AS18" s="59">
        <f t="shared" si="6"/>
        <v>906.66666666666663</v>
      </c>
      <c r="AT18" s="32">
        <v>1372</v>
      </c>
      <c r="AU18" s="32">
        <v>1386</v>
      </c>
      <c r="AV18" s="32">
        <v>1452</v>
      </c>
      <c r="AW18" s="32">
        <v>276</v>
      </c>
      <c r="AX18" s="32">
        <v>304</v>
      </c>
      <c r="AY18" s="32">
        <v>330</v>
      </c>
      <c r="AZ18" s="33">
        <f t="shared" si="11"/>
        <v>4.6263736263736268</v>
      </c>
      <c r="BA18" s="34">
        <f t="shared" si="7"/>
        <v>1403.3333333333333</v>
      </c>
      <c r="BB18" s="41">
        <f t="shared" si="12"/>
        <v>496.66666666666663</v>
      </c>
      <c r="BC18" s="34">
        <f t="shared" si="13"/>
        <v>1359</v>
      </c>
      <c r="BD18" s="28">
        <f t="shared" si="14"/>
        <v>1.4988970588235295</v>
      </c>
      <c r="BE18" s="35">
        <f t="shared" si="8"/>
        <v>0.25963851135695915</v>
      </c>
      <c r="BF18" s="60" t="str">
        <f t="shared" si="9"/>
        <v>中国电信</v>
      </c>
    </row>
    <row r="19" spans="1:58" s="60" customFormat="1" x14ac:dyDescent="0.2">
      <c r="A19" s="53" t="s">
        <v>57</v>
      </c>
      <c r="B19" s="4" t="s">
        <v>46</v>
      </c>
      <c r="C19" s="4">
        <v>5.26</v>
      </c>
      <c r="D19" s="55">
        <f t="shared" si="15"/>
        <v>4.8139519999999996</v>
      </c>
      <c r="E19" s="4">
        <v>305.98</v>
      </c>
      <c r="F19" s="4">
        <v>12.62</v>
      </c>
      <c r="G19" s="5">
        <f t="shared" si="0"/>
        <v>1472.97303296</v>
      </c>
      <c r="H19" s="56">
        <f>C19/F19</f>
        <v>0.41679873217115693</v>
      </c>
      <c r="I19" s="24">
        <v>0.33660000000000001</v>
      </c>
      <c r="J19" s="25">
        <v>2.5000000000000001E-2</v>
      </c>
      <c r="K19" s="57">
        <f>I19/D19</f>
        <v>6.9921760748756959E-2</v>
      </c>
      <c r="L19" s="27">
        <f t="shared" si="2"/>
        <v>0.65210000000000001</v>
      </c>
      <c r="M19" s="27">
        <f t="shared" si="16"/>
        <v>0.61115105562455063</v>
      </c>
      <c r="N19" s="26">
        <f t="shared" si="3"/>
        <v>5.1671949286846278E-2</v>
      </c>
      <c r="O19" s="27">
        <f t="shared" si="17"/>
        <v>0.61115105562455063</v>
      </c>
      <c r="P19" s="58">
        <f t="shared" si="18"/>
        <v>7.8768611388235295</v>
      </c>
      <c r="Q19" s="4">
        <v>3726</v>
      </c>
      <c r="R19" s="4">
        <v>347</v>
      </c>
      <c r="S19" s="4">
        <v>186</v>
      </c>
      <c r="T19" s="4">
        <v>189</v>
      </c>
      <c r="U19" s="4">
        <v>187</v>
      </c>
      <c r="V19" s="29">
        <f t="shared" si="4"/>
        <v>0.98941798941798942</v>
      </c>
      <c r="W19" s="4">
        <v>187</v>
      </c>
      <c r="X19" s="4">
        <v>600</v>
      </c>
      <c r="Y19" s="4">
        <v>1590</v>
      </c>
      <c r="Z19" s="4">
        <v>0</v>
      </c>
      <c r="AA19" s="4">
        <v>20</v>
      </c>
      <c r="AB19" s="4">
        <f>588+244</f>
        <v>832</v>
      </c>
      <c r="AC19" s="4">
        <v>387</v>
      </c>
      <c r="AD19" s="4">
        <v>22</v>
      </c>
      <c r="AE19" s="4">
        <v>596</v>
      </c>
      <c r="AF19" s="4">
        <v>1676</v>
      </c>
      <c r="AG19" s="4"/>
      <c r="AH19" s="4">
        <v>137</v>
      </c>
      <c r="AI19" s="4">
        <v>319</v>
      </c>
      <c r="AJ19" s="4">
        <v>6610</v>
      </c>
      <c r="AK19" s="4">
        <v>3539</v>
      </c>
      <c r="AL19" s="4">
        <v>5048</v>
      </c>
      <c r="AM19" s="4">
        <v>2603</v>
      </c>
      <c r="AN19" s="5">
        <f t="shared" si="5"/>
        <v>4007</v>
      </c>
      <c r="AO19" s="32">
        <v>1005</v>
      </c>
      <c r="AP19" s="4">
        <v>793</v>
      </c>
      <c r="AQ19" s="4">
        <v>725</v>
      </c>
      <c r="AR19" s="13">
        <v>720</v>
      </c>
      <c r="AS19" s="59">
        <f>AVERAGE(AP19:AR19)</f>
        <v>746</v>
      </c>
      <c r="AT19" s="32">
        <v>1106</v>
      </c>
      <c r="AU19" s="32">
        <v>1005</v>
      </c>
      <c r="AV19" s="32">
        <v>1023</v>
      </c>
      <c r="AW19" s="32">
        <v>144</v>
      </c>
      <c r="AX19" s="32">
        <v>167</v>
      </c>
      <c r="AY19" s="32">
        <v>187</v>
      </c>
      <c r="AZ19" s="33">
        <f t="shared" si="11"/>
        <v>6.2931726907630523</v>
      </c>
      <c r="BA19" s="34">
        <f t="shared" si="7"/>
        <v>1044.6666666666667</v>
      </c>
      <c r="BB19" s="41">
        <f t="shared" si="12"/>
        <v>298.66666666666674</v>
      </c>
      <c r="BC19" s="34">
        <f t="shared" si="13"/>
        <v>972</v>
      </c>
      <c r="BD19" s="28">
        <f t="shared" si="14"/>
        <v>1.3029490616621984</v>
      </c>
      <c r="BE19" s="35">
        <f t="shared" si="8"/>
        <v>0.65988988138277449</v>
      </c>
      <c r="BF19" s="60" t="str">
        <f t="shared" si="9"/>
        <v>中国联通</v>
      </c>
    </row>
    <row r="20" spans="1:58" s="60" customFormat="1" x14ac:dyDescent="0.2">
      <c r="A20" s="61" t="s">
        <v>57</v>
      </c>
      <c r="B20" s="4" t="s">
        <v>47</v>
      </c>
      <c r="C20" s="4">
        <v>10.199999999999999</v>
      </c>
      <c r="D20" s="55">
        <f t="shared" si="15"/>
        <v>9.3350399999999993</v>
      </c>
      <c r="E20" s="4">
        <v>305.98</v>
      </c>
      <c r="F20" s="4">
        <v>13.1</v>
      </c>
      <c r="G20" s="5">
        <f t="shared" si="0"/>
        <v>2856.3355391999999</v>
      </c>
      <c r="H20" s="56">
        <f>C20/F20</f>
        <v>0.77862595419847325</v>
      </c>
      <c r="I20" s="24">
        <v>0.41099999999999998</v>
      </c>
      <c r="J20" s="25">
        <f>F20/F19-1</f>
        <v>3.8034865293185449E-2</v>
      </c>
      <c r="K20" s="57">
        <f>I20/D20</f>
        <v>4.4027663512957629E-2</v>
      </c>
      <c r="L20" s="27">
        <f t="shared" si="2"/>
        <v>0.90925673534072937</v>
      </c>
      <c r="M20" s="27">
        <f t="shared" si="16"/>
        <v>0.67324661742597547</v>
      </c>
      <c r="N20" s="26">
        <f t="shared" si="3"/>
        <v>6.9408911094712172E-2</v>
      </c>
      <c r="O20" s="27">
        <f t="shared" si="17"/>
        <v>0.67324661742597547</v>
      </c>
      <c r="P20" s="58">
        <f t="shared" si="18"/>
        <v>13.865706500970873</v>
      </c>
      <c r="Q20" s="4">
        <v>3896</v>
      </c>
      <c r="R20" s="4">
        <v>425</v>
      </c>
      <c r="S20" s="4">
        <v>212</v>
      </c>
      <c r="T20" s="4">
        <v>207</v>
      </c>
      <c r="U20" s="4">
        <v>206</v>
      </c>
      <c r="V20" s="29">
        <f t="shared" si="4"/>
        <v>0.99516908212560384</v>
      </c>
      <c r="W20" s="4">
        <v>206</v>
      </c>
      <c r="X20" s="4">
        <v>643</v>
      </c>
      <c r="Y20" s="4">
        <v>1595</v>
      </c>
      <c r="Z20" s="4">
        <v>0</v>
      </c>
      <c r="AA20" s="4">
        <v>17.8</v>
      </c>
      <c r="AB20" s="4">
        <v>638</v>
      </c>
      <c r="AC20" s="4">
        <v>537</v>
      </c>
      <c r="AD20" s="4">
        <v>25</v>
      </c>
      <c r="AE20" s="4">
        <v>612</v>
      </c>
      <c r="AF20" s="4">
        <v>1687</v>
      </c>
      <c r="AG20" s="4"/>
      <c r="AH20" s="4">
        <v>144</v>
      </c>
      <c r="AI20" s="4">
        <v>254</v>
      </c>
      <c r="AJ20" s="4">
        <v>6712</v>
      </c>
      <c r="AK20" s="4">
        <v>3635</v>
      </c>
      <c r="AL20" s="4">
        <v>5140</v>
      </c>
      <c r="AM20" s="4">
        <v>2659</v>
      </c>
      <c r="AN20" s="5">
        <f t="shared" si="5"/>
        <v>4053</v>
      </c>
      <c r="AO20" s="32">
        <v>1005</v>
      </c>
      <c r="AP20" s="4">
        <v>793</v>
      </c>
      <c r="AQ20" s="4">
        <v>725</v>
      </c>
      <c r="AR20" s="13">
        <v>720</v>
      </c>
      <c r="AS20" s="59">
        <f t="shared" si="6"/>
        <v>746</v>
      </c>
      <c r="AT20" s="32">
        <v>1106</v>
      </c>
      <c r="AU20" s="32">
        <v>1005</v>
      </c>
      <c r="AV20" s="32">
        <v>1023</v>
      </c>
      <c r="AW20" s="32">
        <v>144</v>
      </c>
      <c r="AX20" s="32">
        <v>167</v>
      </c>
      <c r="AY20" s="32">
        <v>187</v>
      </c>
      <c r="AZ20" s="33">
        <f t="shared" si="11"/>
        <v>6.2931726907630523</v>
      </c>
      <c r="BA20" s="34">
        <f t="shared" si="7"/>
        <v>1044.6666666666667</v>
      </c>
      <c r="BB20" s="41">
        <f t="shared" si="12"/>
        <v>298.66666666666674</v>
      </c>
      <c r="BC20" s="34">
        <f t="shared" si="13"/>
        <v>852</v>
      </c>
      <c r="BD20" s="28">
        <f t="shared" si="14"/>
        <v>1.1420911528150135</v>
      </c>
      <c r="BE20" s="35">
        <f t="shared" si="8"/>
        <v>0.2982842835889748</v>
      </c>
      <c r="BF20" s="60" t="str">
        <f t="shared" si="9"/>
        <v>中国联通</v>
      </c>
    </row>
    <row r="21" spans="1:58" x14ac:dyDescent="0.2">
      <c r="A21" s="53" t="s">
        <v>58</v>
      </c>
      <c r="B21" s="2" t="s">
        <v>46</v>
      </c>
      <c r="C21" s="2">
        <v>50</v>
      </c>
      <c r="D21" s="22">
        <f t="shared" si="15"/>
        <v>45.76</v>
      </c>
      <c r="E21" s="4">
        <v>43.39</v>
      </c>
      <c r="F21" s="4">
        <v>11.29</v>
      </c>
      <c r="G21" s="5">
        <f t="shared" si="0"/>
        <v>1985.5264</v>
      </c>
      <c r="H21" s="5">
        <f>C21/F21</f>
        <v>4.4286979627989371</v>
      </c>
      <c r="I21" s="24">
        <v>0</v>
      </c>
      <c r="J21" s="25">
        <v>0.03</v>
      </c>
      <c r="K21" s="26">
        <f t="shared" ref="K21:K40" si="19">I21/C21</f>
        <v>0</v>
      </c>
      <c r="L21" s="27">
        <f t="shared" si="2"/>
        <v>0.33869999999999995</v>
      </c>
      <c r="M21" s="27">
        <f t="shared" si="16"/>
        <v>1.4749942383037566</v>
      </c>
      <c r="N21" s="26">
        <f t="shared" si="3"/>
        <v>0.03</v>
      </c>
      <c r="O21" s="27">
        <f t="shared" si="17"/>
        <v>1.4749942383037566</v>
      </c>
      <c r="P21" s="28">
        <f t="shared" si="18"/>
        <v>31.023849999999999</v>
      </c>
      <c r="Q21" s="4">
        <v>1135</v>
      </c>
      <c r="R21" s="4">
        <v>561</v>
      </c>
      <c r="S21" s="4">
        <v>69</v>
      </c>
      <c r="T21" s="4">
        <v>64</v>
      </c>
      <c r="U21" s="4">
        <v>64</v>
      </c>
      <c r="V21" s="29">
        <f t="shared" si="4"/>
        <v>1</v>
      </c>
      <c r="W21" s="4">
        <v>64</v>
      </c>
      <c r="X21" s="4">
        <v>365</v>
      </c>
      <c r="Y21" s="4">
        <v>35</v>
      </c>
      <c r="Z21" s="2">
        <v>123</v>
      </c>
      <c r="AA21" s="4">
        <v>5.77</v>
      </c>
      <c r="AB21" s="4">
        <v>490</v>
      </c>
      <c r="AC21" s="4">
        <v>65</v>
      </c>
      <c r="AD21" s="4">
        <v>0</v>
      </c>
      <c r="AE21" s="4">
        <v>57</v>
      </c>
      <c r="AF21" s="4">
        <v>236</v>
      </c>
      <c r="AG21" s="4"/>
      <c r="AH21" s="4">
        <v>33</v>
      </c>
      <c r="AI21" s="4">
        <v>84</v>
      </c>
      <c r="AJ21" s="4">
        <v>1063</v>
      </c>
      <c r="AK21" s="4">
        <v>490</v>
      </c>
      <c r="AL21" s="4">
        <v>459</v>
      </c>
      <c r="AM21" s="4">
        <v>488</v>
      </c>
      <c r="AN21" s="5">
        <f t="shared" si="5"/>
        <v>575</v>
      </c>
      <c r="AO21" s="30">
        <v>208</v>
      </c>
      <c r="AP21" s="4">
        <v>49</v>
      </c>
      <c r="AQ21" s="4">
        <v>46</v>
      </c>
      <c r="AR21" s="13">
        <v>78</v>
      </c>
      <c r="AS21" s="28">
        <f>AVERAGE(AP21:AR21)</f>
        <v>57.666666666666664</v>
      </c>
      <c r="AT21" s="32">
        <v>-55</v>
      </c>
      <c r="AU21" s="32">
        <v>8</v>
      </c>
      <c r="AV21" s="32">
        <v>208</v>
      </c>
      <c r="AW21" s="32">
        <v>-780</v>
      </c>
      <c r="AX21" s="32">
        <v>-137</v>
      </c>
      <c r="AY21" s="32">
        <v>64</v>
      </c>
      <c r="AZ21" s="33">
        <f t="shared" si="11"/>
        <v>-0.18874560375146543</v>
      </c>
      <c r="BA21" s="34">
        <f t="shared" si="7"/>
        <v>53.666666666666664</v>
      </c>
      <c r="BB21" s="41">
        <f t="shared" si="12"/>
        <v>-4</v>
      </c>
      <c r="BC21" s="34">
        <f t="shared" si="13"/>
        <v>430</v>
      </c>
      <c r="BD21" s="28">
        <f t="shared" si="14"/>
        <v>7.4566473988439306</v>
      </c>
      <c r="BE21" s="35">
        <f t="shared" si="8"/>
        <v>0.21656725390304557</v>
      </c>
      <c r="BF21" t="str">
        <f t="shared" si="9"/>
        <v>快手</v>
      </c>
    </row>
    <row r="22" spans="1:58" x14ac:dyDescent="0.2">
      <c r="A22" s="50" t="s">
        <v>58</v>
      </c>
      <c r="B22" s="37" t="s">
        <v>47</v>
      </c>
      <c r="C22" s="38">
        <v>64</v>
      </c>
      <c r="D22" s="22">
        <f t="shared" si="15"/>
        <v>58.572800000000001</v>
      </c>
      <c r="E22" s="4">
        <v>43.04</v>
      </c>
      <c r="F22" s="4">
        <v>14.44</v>
      </c>
      <c r="G22" s="5">
        <f t="shared" si="0"/>
        <v>2520.9733120000001</v>
      </c>
      <c r="H22" s="5">
        <f t="shared" si="10"/>
        <v>4.43213296398892</v>
      </c>
      <c r="I22" s="24">
        <v>0</v>
      </c>
      <c r="J22" s="25">
        <f>F22/F21-1</f>
        <v>0.27900797165633318</v>
      </c>
      <c r="K22" s="26">
        <f t="shared" si="19"/>
        <v>0</v>
      </c>
      <c r="L22" s="27">
        <f t="shared" si="2"/>
        <v>4.0288751107174505</v>
      </c>
      <c r="M22" s="27">
        <f t="shared" si="16"/>
        <v>3.5548327137546467</v>
      </c>
      <c r="N22" s="39">
        <f t="shared" si="3"/>
        <v>0.27900797165633318</v>
      </c>
      <c r="O22" s="27">
        <f t="shared" si="17"/>
        <v>3.5548327137546467</v>
      </c>
      <c r="P22" s="28">
        <f t="shared" si="18"/>
        <v>16.476949751633988</v>
      </c>
      <c r="Q22" s="4">
        <v>1269</v>
      </c>
      <c r="R22" s="4">
        <v>576</v>
      </c>
      <c r="S22" s="4">
        <v>154</v>
      </c>
      <c r="T22" s="4">
        <v>153</v>
      </c>
      <c r="U22" s="4">
        <v>153</v>
      </c>
      <c r="V22" s="29">
        <f t="shared" si="4"/>
        <v>1</v>
      </c>
      <c r="W22" s="4">
        <v>153</v>
      </c>
      <c r="X22" s="4">
        <v>411</v>
      </c>
      <c r="Y22" s="4">
        <v>30</v>
      </c>
      <c r="Z22" s="2">
        <v>122</v>
      </c>
      <c r="AA22" s="4">
        <v>8.35</v>
      </c>
      <c r="AB22" s="4">
        <f>243+273</f>
        <v>516</v>
      </c>
      <c r="AC22" s="4">
        <v>67</v>
      </c>
      <c r="AD22" s="4">
        <v>0</v>
      </c>
      <c r="AE22" s="4">
        <v>247</v>
      </c>
      <c r="AF22" s="4">
        <v>275</v>
      </c>
      <c r="AG22" s="4"/>
      <c r="AH22" s="4">
        <v>37</v>
      </c>
      <c r="AI22" s="4">
        <v>179</v>
      </c>
      <c r="AJ22" s="4">
        <v>1399</v>
      </c>
      <c r="AK22" s="4">
        <v>620</v>
      </c>
      <c r="AL22" s="4">
        <v>770</v>
      </c>
      <c r="AM22" s="4">
        <v>598</v>
      </c>
      <c r="AN22" s="5">
        <f t="shared" si="5"/>
        <v>801</v>
      </c>
      <c r="AO22" s="30">
        <v>298</v>
      </c>
      <c r="AP22" s="4">
        <v>81</v>
      </c>
      <c r="AQ22" s="4">
        <v>49</v>
      </c>
      <c r="AR22" s="13">
        <v>46</v>
      </c>
      <c r="AS22" s="28">
        <f t="shared" si="6"/>
        <v>58.666666666666664</v>
      </c>
      <c r="AT22" s="32">
        <v>8</v>
      </c>
      <c r="AU22" s="32">
        <v>208</v>
      </c>
      <c r="AV22" s="32">
        <v>299</v>
      </c>
      <c r="AW22" s="32">
        <v>-137</v>
      </c>
      <c r="AX22" s="32">
        <v>64</v>
      </c>
      <c r="AY22" s="32">
        <v>153</v>
      </c>
      <c r="AZ22" s="33">
        <f t="shared" si="11"/>
        <v>6.4375</v>
      </c>
      <c r="BA22" s="34">
        <f t="shared" si="7"/>
        <v>171.66666666666666</v>
      </c>
      <c r="BB22" s="41">
        <f t="shared" si="12"/>
        <v>113</v>
      </c>
      <c r="BC22" s="42">
        <f t="shared" si="13"/>
        <v>547</v>
      </c>
      <c r="BD22" s="43">
        <f t="shared" si="14"/>
        <v>9.3238636363636367</v>
      </c>
      <c r="BE22" s="44">
        <f t="shared" si="8"/>
        <v>0.21697968693133074</v>
      </c>
      <c r="BF22" t="str">
        <f t="shared" si="9"/>
        <v>快手</v>
      </c>
    </row>
    <row r="23" spans="1:58" s="60" customFormat="1" x14ac:dyDescent="0.2">
      <c r="A23" s="53" t="s">
        <v>59</v>
      </c>
      <c r="B23" s="4" t="s">
        <v>46</v>
      </c>
      <c r="C23" s="4">
        <v>91.4</v>
      </c>
      <c r="D23" s="22">
        <f t="shared" si="15"/>
        <v>83.649280000000005</v>
      </c>
      <c r="E23" s="4">
        <v>62.35</v>
      </c>
      <c r="F23" s="4">
        <v>24.34</v>
      </c>
      <c r="G23" s="5">
        <f t="shared" si="0"/>
        <v>5215.5326080000004</v>
      </c>
      <c r="H23" s="5">
        <f>C23/F23</f>
        <v>3.7551355792933445</v>
      </c>
      <c r="I23" s="24">
        <v>0</v>
      </c>
      <c r="J23" s="25">
        <v>0.1</v>
      </c>
      <c r="K23" s="26">
        <f t="shared" si="19"/>
        <v>0</v>
      </c>
      <c r="L23" s="27">
        <f t="shared" si="2"/>
        <v>2.4340000000000002</v>
      </c>
      <c r="M23" s="27">
        <f t="shared" si="16"/>
        <v>2.2293504410585405</v>
      </c>
      <c r="N23" s="26">
        <f t="shared" si="3"/>
        <v>0.1</v>
      </c>
      <c r="O23" s="27">
        <f t="shared" si="17"/>
        <v>2.2293504410585405</v>
      </c>
      <c r="P23" s="28">
        <f t="shared" si="18"/>
        <v>37.521817323741011</v>
      </c>
      <c r="Q23" s="4">
        <v>2767</v>
      </c>
      <c r="R23" s="4">
        <v>1796</v>
      </c>
      <c r="S23" s="4">
        <v>128</v>
      </c>
      <c r="T23" s="4">
        <v>139</v>
      </c>
      <c r="U23" s="4">
        <v>139</v>
      </c>
      <c r="V23" s="29">
        <f t="shared" si="4"/>
        <v>1</v>
      </c>
      <c r="W23" s="4">
        <v>139</v>
      </c>
      <c r="X23" s="4">
        <v>586</v>
      </c>
      <c r="Y23" s="4">
        <v>94</v>
      </c>
      <c r="Z23" s="4">
        <v>212</v>
      </c>
      <c r="AA23" s="4">
        <v>14.25</v>
      </c>
      <c r="AB23" s="4">
        <f>527+1118</f>
        <v>1645</v>
      </c>
      <c r="AC23" s="4">
        <v>27</v>
      </c>
      <c r="AD23" s="4">
        <v>13</v>
      </c>
      <c r="AE23" s="4">
        <v>476</v>
      </c>
      <c r="AF23" s="4">
        <v>230</v>
      </c>
      <c r="AG23" s="4"/>
      <c r="AH23" s="4">
        <v>218</v>
      </c>
      <c r="AI23" s="4">
        <v>388</v>
      </c>
      <c r="AJ23" s="4">
        <v>2930</v>
      </c>
      <c r="AK23" s="4">
        <v>1520</v>
      </c>
      <c r="AL23" s="4">
        <v>1099</v>
      </c>
      <c r="AM23" s="4">
        <v>1009</v>
      </c>
      <c r="AN23" s="5">
        <f t="shared" si="5"/>
        <v>1921</v>
      </c>
      <c r="AO23" s="32">
        <v>405</v>
      </c>
      <c r="AP23" s="4">
        <v>69</v>
      </c>
      <c r="AQ23" s="4">
        <v>57</v>
      </c>
      <c r="AR23" s="13">
        <v>90</v>
      </c>
      <c r="AS23" s="28">
        <f>AVERAGE(AP23:AR23)</f>
        <v>72</v>
      </c>
      <c r="AT23" s="32">
        <v>-40</v>
      </c>
      <c r="AU23" s="32">
        <v>114</v>
      </c>
      <c r="AV23" s="32">
        <v>405</v>
      </c>
      <c r="AW23" s="32">
        <v>-235</v>
      </c>
      <c r="AX23" s="32">
        <v>-67</v>
      </c>
      <c r="AY23" s="32">
        <v>138</v>
      </c>
      <c r="AZ23" s="33">
        <f t="shared" si="11"/>
        <v>-2.9207317073170733</v>
      </c>
      <c r="BA23" s="34">
        <f t="shared" si="7"/>
        <v>159.66666666666666</v>
      </c>
      <c r="BB23" s="41">
        <f t="shared" si="12"/>
        <v>87.666666666666657</v>
      </c>
      <c r="BC23" s="34">
        <f t="shared" si="13"/>
        <v>1515</v>
      </c>
      <c r="BD23" s="28">
        <f t="shared" si="14"/>
        <v>21.041666666666668</v>
      </c>
      <c r="BE23" s="35">
        <f t="shared" si="8"/>
        <v>0.29047848299829859</v>
      </c>
      <c r="BF23" s="60" t="str">
        <f t="shared" si="9"/>
        <v>美团</v>
      </c>
    </row>
    <row r="24" spans="1:58" s="60" customFormat="1" x14ac:dyDescent="0.2">
      <c r="A24" s="62" t="s">
        <v>59</v>
      </c>
      <c r="B24" s="37" t="s">
        <v>47</v>
      </c>
      <c r="C24" s="63">
        <v>104</v>
      </c>
      <c r="D24" s="22">
        <f t="shared" si="15"/>
        <v>95.180800000000005</v>
      </c>
      <c r="E24" s="4">
        <v>61.11</v>
      </c>
      <c r="F24" s="4">
        <v>33</v>
      </c>
      <c r="G24" s="5">
        <f t="shared" si="0"/>
        <v>5816.4986880000006</v>
      </c>
      <c r="H24" s="5">
        <f t="shared" si="10"/>
        <v>3.1515151515151514</v>
      </c>
      <c r="I24" s="24">
        <v>0</v>
      </c>
      <c r="J24" s="25">
        <v>0.17</v>
      </c>
      <c r="K24" s="26">
        <f t="shared" si="19"/>
        <v>0</v>
      </c>
      <c r="L24" s="27">
        <f t="shared" si="2"/>
        <v>5.61</v>
      </c>
      <c r="M24" s="27">
        <f t="shared" si="16"/>
        <v>5.8582883325151363</v>
      </c>
      <c r="N24" s="39">
        <f t="shared" si="3"/>
        <v>0.17</v>
      </c>
      <c r="O24" s="27">
        <f t="shared" si="17"/>
        <v>5.8582883325151363</v>
      </c>
      <c r="P24" s="28">
        <f t="shared" si="18"/>
        <v>16.247203039106147</v>
      </c>
      <c r="Q24" s="4">
        <v>3376</v>
      </c>
      <c r="R24" s="4">
        <v>2078</v>
      </c>
      <c r="S24" s="4">
        <v>368</v>
      </c>
      <c r="T24" s="4">
        <v>358</v>
      </c>
      <c r="U24" s="4">
        <v>358</v>
      </c>
      <c r="V24" s="29">
        <f t="shared" si="4"/>
        <v>1</v>
      </c>
      <c r="W24" s="4">
        <v>358</v>
      </c>
      <c r="X24" s="4">
        <v>640</v>
      </c>
      <c r="Y24" s="4">
        <v>109</v>
      </c>
      <c r="Z24" s="4">
        <v>210</v>
      </c>
      <c r="AA24" s="4">
        <v>13.37</v>
      </c>
      <c r="AB24" s="4">
        <v>1890</v>
      </c>
      <c r="AC24" s="4">
        <v>31</v>
      </c>
      <c r="AD24" s="4">
        <v>25</v>
      </c>
      <c r="AE24" s="4">
        <v>434</v>
      </c>
      <c r="AF24" s="4">
        <v>456</v>
      </c>
      <c r="AG24" s="4"/>
      <c r="AH24" s="4">
        <v>28</v>
      </c>
      <c r="AI24" s="4">
        <v>318</v>
      </c>
      <c r="AJ24" s="4">
        <v>3301</v>
      </c>
      <c r="AK24" s="4">
        <v>1842</v>
      </c>
      <c r="AL24" s="4">
        <v>1128</v>
      </c>
      <c r="AM24" s="4">
        <v>1124</v>
      </c>
      <c r="AN24" s="5">
        <f t="shared" si="5"/>
        <v>2177</v>
      </c>
      <c r="AO24" s="32">
        <v>571</v>
      </c>
      <c r="AP24" s="4">
        <v>110</v>
      </c>
      <c r="AQ24" s="4">
        <v>69</v>
      </c>
      <c r="AR24" s="13">
        <v>57</v>
      </c>
      <c r="AS24" s="28">
        <f t="shared" si="6"/>
        <v>78.666666666666671</v>
      </c>
      <c r="AT24" s="32">
        <v>114</v>
      </c>
      <c r="AU24" s="32">
        <v>405</v>
      </c>
      <c r="AV24" s="32">
        <v>571</v>
      </c>
      <c r="AW24" s="32">
        <v>358</v>
      </c>
      <c r="AX24" s="32">
        <v>138</v>
      </c>
      <c r="AY24" s="32">
        <v>-67</v>
      </c>
      <c r="AZ24" s="33">
        <f t="shared" si="11"/>
        <v>2.5407925407925407</v>
      </c>
      <c r="BA24" s="34">
        <f t="shared" si="7"/>
        <v>363.33333333333331</v>
      </c>
      <c r="BB24" s="41">
        <f t="shared" si="12"/>
        <v>284.66666666666663</v>
      </c>
      <c r="BC24" s="42">
        <f t="shared" si="13"/>
        <v>1978</v>
      </c>
      <c r="BD24" s="43">
        <f t="shared" si="14"/>
        <v>25.14406779661017</v>
      </c>
      <c r="BE24" s="44">
        <f t="shared" si="8"/>
        <v>0.34006712733913363</v>
      </c>
      <c r="BF24" s="60" t="str">
        <f t="shared" si="9"/>
        <v>美团</v>
      </c>
    </row>
    <row r="25" spans="1:58" x14ac:dyDescent="0.2">
      <c r="A25" s="1" t="s">
        <v>60</v>
      </c>
      <c r="B25" s="37" t="s">
        <v>47</v>
      </c>
      <c r="C25" s="2">
        <v>547</v>
      </c>
      <c r="D25" s="22">
        <f t="shared" si="15"/>
        <v>500.61439999999999</v>
      </c>
      <c r="E25" s="4">
        <v>6.54</v>
      </c>
      <c r="F25" s="4">
        <v>247.7</v>
      </c>
      <c r="G25" s="5">
        <f t="shared" si="0"/>
        <v>3274.018176</v>
      </c>
      <c r="H25" s="5">
        <f t="shared" si="10"/>
        <v>2.208316511909568</v>
      </c>
      <c r="I25" s="24">
        <v>2.3330000000000002</v>
      </c>
      <c r="J25" s="25">
        <v>0.15</v>
      </c>
      <c r="K25" s="26">
        <f t="shared" si="19"/>
        <v>4.2650822669104207E-3</v>
      </c>
      <c r="L25" s="27">
        <f t="shared" si="2"/>
        <v>39.487999999999992</v>
      </c>
      <c r="M25" s="27">
        <f t="shared" si="16"/>
        <v>26.146788990825687</v>
      </c>
      <c r="N25" s="26">
        <f t="shared" si="3"/>
        <v>0.15941865159467095</v>
      </c>
      <c r="O25" s="27">
        <f t="shared" si="17"/>
        <v>26.146788990825687</v>
      </c>
      <c r="P25" s="28">
        <f t="shared" si="18"/>
        <v>19.146305122807018</v>
      </c>
      <c r="Q25" s="4">
        <v>534</v>
      </c>
      <c r="R25" s="4">
        <v>101</v>
      </c>
      <c r="S25" s="4">
        <v>170</v>
      </c>
      <c r="T25" s="4">
        <v>172</v>
      </c>
      <c r="U25" s="4">
        <v>171</v>
      </c>
      <c r="V25" s="29">
        <f t="shared" si="4"/>
        <v>0.9941860465116279</v>
      </c>
      <c r="W25" s="4">
        <v>171</v>
      </c>
      <c r="X25" s="4">
        <v>119</v>
      </c>
      <c r="Y25" s="4">
        <v>41</v>
      </c>
      <c r="Z25" s="2">
        <v>131</v>
      </c>
      <c r="AA25" s="4">
        <v>17.399999999999999</v>
      </c>
      <c r="AB25" s="4">
        <v>796</v>
      </c>
      <c r="AC25" s="4">
        <v>125</v>
      </c>
      <c r="AD25" s="4">
        <v>0</v>
      </c>
      <c r="AE25" s="4">
        <v>472</v>
      </c>
      <c r="AF25" s="4">
        <v>166</v>
      </c>
      <c r="AG25" s="4"/>
      <c r="AH25" s="4">
        <v>194</v>
      </c>
      <c r="AI25" s="4">
        <v>207</v>
      </c>
      <c r="AJ25" s="4">
        <v>2426</v>
      </c>
      <c r="AK25" s="4">
        <v>1435</v>
      </c>
      <c r="AL25" s="4">
        <v>1305</v>
      </c>
      <c r="AM25" s="4">
        <v>740</v>
      </c>
      <c r="AN25" s="5">
        <f t="shared" si="5"/>
        <v>1686</v>
      </c>
      <c r="AO25" s="30">
        <v>196</v>
      </c>
      <c r="AP25" s="4">
        <v>6</v>
      </c>
      <c r="AQ25" s="4">
        <v>6</v>
      </c>
      <c r="AR25" s="13">
        <v>5</v>
      </c>
      <c r="AS25" s="28">
        <f t="shared" si="6"/>
        <v>5.666666666666667</v>
      </c>
      <c r="AT25" s="32">
        <v>26</v>
      </c>
      <c r="AU25" s="32">
        <v>220</v>
      </c>
      <c r="AV25" s="32">
        <v>196</v>
      </c>
      <c r="AW25" s="32">
        <v>172</v>
      </c>
      <c r="AX25" s="32">
        <v>100</v>
      </c>
      <c r="AY25" s="32">
        <v>14</v>
      </c>
      <c r="AZ25" s="33">
        <f t="shared" si="11"/>
        <v>1.5454545454545454</v>
      </c>
      <c r="BA25" s="34">
        <f t="shared" si="7"/>
        <v>147.33333333333334</v>
      </c>
      <c r="BB25" s="41">
        <f t="shared" si="12"/>
        <v>141.66666666666669</v>
      </c>
      <c r="BC25" s="34">
        <f t="shared" si="13"/>
        <v>867</v>
      </c>
      <c r="BD25" s="28">
        <f t="shared" si="14"/>
        <v>153</v>
      </c>
      <c r="BE25" s="35">
        <f t="shared" si="8"/>
        <v>0.264812213431035</v>
      </c>
      <c r="BF25" t="str">
        <f t="shared" si="9"/>
        <v>携程</v>
      </c>
    </row>
    <row r="26" spans="1:58" s="60" customFormat="1" x14ac:dyDescent="0.2">
      <c r="A26" s="53" t="s">
        <v>61</v>
      </c>
      <c r="B26" s="4" t="s">
        <v>46</v>
      </c>
      <c r="C26" s="4">
        <v>100</v>
      </c>
      <c r="D26" s="22">
        <f t="shared" si="15"/>
        <v>91.52</v>
      </c>
      <c r="E26" s="4">
        <v>29.03</v>
      </c>
      <c r="F26" s="4">
        <v>83.94</v>
      </c>
      <c r="G26" s="5">
        <f t="shared" si="0"/>
        <v>2656.8256000000001</v>
      </c>
      <c r="H26" s="56">
        <f>C26/F26</f>
        <v>1.1913271384322135</v>
      </c>
      <c r="I26" s="24">
        <v>0</v>
      </c>
      <c r="J26" s="25">
        <v>0.05</v>
      </c>
      <c r="K26" s="57">
        <f t="shared" si="19"/>
        <v>0</v>
      </c>
      <c r="L26" s="27">
        <f t="shared" si="2"/>
        <v>4.1970000000000001</v>
      </c>
      <c r="M26" s="27">
        <f t="shared" si="16"/>
        <v>6.2004822597313121</v>
      </c>
      <c r="N26" s="26">
        <f t="shared" si="3"/>
        <v>0.05</v>
      </c>
      <c r="O26" s="27">
        <f t="shared" si="17"/>
        <v>6.9927661040303128</v>
      </c>
      <c r="P26" s="59">
        <f t="shared" si="18"/>
        <v>14.760142222222223</v>
      </c>
      <c r="Q26" s="4">
        <v>1346</v>
      </c>
      <c r="R26" s="4">
        <v>650</v>
      </c>
      <c r="S26" s="4">
        <v>290</v>
      </c>
      <c r="T26" s="4">
        <v>215</v>
      </c>
      <c r="U26" s="4">
        <v>203</v>
      </c>
      <c r="V26" s="29">
        <f t="shared" si="4"/>
        <v>0.94418604651162785</v>
      </c>
      <c r="W26" s="4">
        <v>180</v>
      </c>
      <c r="X26" s="4">
        <v>0</v>
      </c>
      <c r="Y26" s="4">
        <v>0</v>
      </c>
      <c r="Z26" s="4">
        <v>242</v>
      </c>
      <c r="AA26" s="4">
        <v>32</v>
      </c>
      <c r="AB26" s="4">
        <f>347+1687</f>
        <v>2034</v>
      </c>
      <c r="AC26" s="4">
        <v>108</v>
      </c>
      <c r="AD26" s="4"/>
      <c r="AE26" s="4">
        <v>726</v>
      </c>
      <c r="AF26" s="4">
        <v>60</v>
      </c>
      <c r="AG26" s="4"/>
      <c r="AH26" s="4">
        <v>191</v>
      </c>
      <c r="AI26" s="4">
        <v>624</v>
      </c>
      <c r="AJ26" s="4">
        <v>4068</v>
      </c>
      <c r="AK26" s="4">
        <v>2531</v>
      </c>
      <c r="AL26" s="4">
        <v>1765</v>
      </c>
      <c r="AM26" s="4">
        <v>765</v>
      </c>
      <c r="AN26" s="5">
        <f t="shared" si="5"/>
        <v>3303</v>
      </c>
      <c r="AO26" s="32">
        <v>366</v>
      </c>
      <c r="AP26" s="4">
        <v>112</v>
      </c>
      <c r="AQ26" s="4">
        <v>83</v>
      </c>
      <c r="AR26" s="13">
        <v>109</v>
      </c>
      <c r="AS26" s="28">
        <f t="shared" si="6"/>
        <v>101.33333333333333</v>
      </c>
      <c r="AT26" s="32">
        <v>201</v>
      </c>
      <c r="AU26" s="32">
        <v>262</v>
      </c>
      <c r="AV26" s="32">
        <v>366</v>
      </c>
      <c r="AW26" s="32">
        <v>215</v>
      </c>
      <c r="AX26" s="32">
        <v>75</v>
      </c>
      <c r="AY26" s="32">
        <v>76</v>
      </c>
      <c r="AZ26" s="33">
        <f t="shared" si="11"/>
        <v>2.2650273224043715</v>
      </c>
      <c r="BA26" s="34">
        <f t="shared" si="7"/>
        <v>276.33333333333331</v>
      </c>
      <c r="BB26" s="41">
        <f t="shared" si="12"/>
        <v>175</v>
      </c>
      <c r="BC26" s="34">
        <f t="shared" si="13"/>
        <v>1945</v>
      </c>
      <c r="BD26" s="28">
        <f t="shared" si="14"/>
        <v>19.194078947368421</v>
      </c>
      <c r="BE26" s="35">
        <f t="shared" si="8"/>
        <v>0.7320766556901589</v>
      </c>
      <c r="BF26" s="60" t="str">
        <f t="shared" si="9"/>
        <v>百度</v>
      </c>
    </row>
    <row r="27" spans="1:58" s="60" customFormat="1" x14ac:dyDescent="0.2">
      <c r="A27" s="61" t="s">
        <v>61</v>
      </c>
      <c r="B27" s="37" t="s">
        <v>47</v>
      </c>
      <c r="C27" s="4">
        <v>117</v>
      </c>
      <c r="D27" s="22">
        <f t="shared" si="15"/>
        <v>107.0784</v>
      </c>
      <c r="E27" s="4">
        <v>27.5</v>
      </c>
      <c r="F27" s="4">
        <v>109.68</v>
      </c>
      <c r="G27" s="5">
        <f t="shared" si="0"/>
        <v>2944.6559999999999</v>
      </c>
      <c r="H27" s="56">
        <f t="shared" si="10"/>
        <v>1.0667396061269145</v>
      </c>
      <c r="I27" s="24">
        <v>0</v>
      </c>
      <c r="J27" s="25">
        <v>0.13650000000000001</v>
      </c>
      <c r="K27" s="57">
        <f t="shared" si="19"/>
        <v>0</v>
      </c>
      <c r="L27" s="27">
        <f t="shared" si="2"/>
        <v>14.971320000000002</v>
      </c>
      <c r="M27" s="27">
        <f t="shared" si="16"/>
        <v>7.6363636363636367</v>
      </c>
      <c r="N27" s="26">
        <f t="shared" si="3"/>
        <v>0.13650000000000001</v>
      </c>
      <c r="O27" s="27">
        <f t="shared" si="17"/>
        <v>8.6181818181818191</v>
      </c>
      <c r="P27" s="59">
        <f t="shared" si="18"/>
        <v>14.022171428571429</v>
      </c>
      <c r="Q27" s="4">
        <v>1331</v>
      </c>
      <c r="R27" s="4">
        <v>661</v>
      </c>
      <c r="S27" s="4">
        <v>293</v>
      </c>
      <c r="T27" s="4">
        <v>242</v>
      </c>
      <c r="U27" s="4">
        <v>237</v>
      </c>
      <c r="V27" s="29">
        <f t="shared" si="4"/>
        <v>0.97933884297520657</v>
      </c>
      <c r="W27" s="4">
        <v>210</v>
      </c>
      <c r="X27" s="4">
        <v>0</v>
      </c>
      <c r="Y27" s="4">
        <v>0</v>
      </c>
      <c r="Z27" s="4">
        <v>221</v>
      </c>
      <c r="AA27" s="4">
        <v>28</v>
      </c>
      <c r="AB27" s="4">
        <v>1242</v>
      </c>
      <c r="AC27" s="4">
        <v>116</v>
      </c>
      <c r="AD27" s="4">
        <v>0</v>
      </c>
      <c r="AE27" s="4">
        <v>1552</v>
      </c>
      <c r="AF27" s="4">
        <v>47</v>
      </c>
      <c r="AG27" s="4"/>
      <c r="AH27" s="4">
        <v>270</v>
      </c>
      <c r="AI27" s="4">
        <v>137</v>
      </c>
      <c r="AJ27" s="4">
        <v>4505</v>
      </c>
      <c r="AK27" s="4">
        <v>2852</v>
      </c>
      <c r="AL27" s="4">
        <v>2934</v>
      </c>
      <c r="AM27" s="4">
        <v>851</v>
      </c>
      <c r="AN27" s="5">
        <f t="shared" si="5"/>
        <v>3654</v>
      </c>
      <c r="AO27" s="32">
        <v>212</v>
      </c>
      <c r="AP27" s="4">
        <v>86</v>
      </c>
      <c r="AQ27" s="4">
        <v>112</v>
      </c>
      <c r="AR27" s="13">
        <v>83</v>
      </c>
      <c r="AS27" s="28">
        <f t="shared" si="6"/>
        <v>93.666666666666671</v>
      </c>
      <c r="AT27" s="32">
        <v>212</v>
      </c>
      <c r="AU27" s="32">
        <v>366</v>
      </c>
      <c r="AV27" s="32">
        <v>262</v>
      </c>
      <c r="AW27" s="32">
        <v>242</v>
      </c>
      <c r="AX27" s="32">
        <v>215</v>
      </c>
      <c r="AY27" s="32">
        <v>75</v>
      </c>
      <c r="AZ27" s="33">
        <f t="shared" si="11"/>
        <v>1.5789473684210527</v>
      </c>
      <c r="BA27" s="34">
        <f t="shared" si="7"/>
        <v>280</v>
      </c>
      <c r="BB27" s="41">
        <f t="shared" si="12"/>
        <v>186.33333333333331</v>
      </c>
      <c r="BC27" s="34">
        <f t="shared" si="13"/>
        <v>2387</v>
      </c>
      <c r="BD27" s="28">
        <f t="shared" si="14"/>
        <v>25.483985765124554</v>
      </c>
      <c r="BE27" s="44">
        <f t="shared" si="8"/>
        <v>0.81062100292869521</v>
      </c>
      <c r="BF27" s="60" t="str">
        <f t="shared" si="9"/>
        <v>百度</v>
      </c>
    </row>
    <row r="28" spans="1:58" s="60" customFormat="1" x14ac:dyDescent="0.2">
      <c r="A28" s="61" t="s">
        <v>62</v>
      </c>
      <c r="B28" s="37" t="s">
        <v>47</v>
      </c>
      <c r="C28" s="4"/>
      <c r="D28" s="64">
        <f>120*[1]正常估值!D2</f>
        <v>853.53600000000006</v>
      </c>
      <c r="E28" s="4">
        <f>G28/D28</f>
        <v>14.210666666666665</v>
      </c>
      <c r="F28" s="4">
        <f>35.85*[1]正常估值!D2</f>
        <v>254.99388000000002</v>
      </c>
      <c r="G28" s="5">
        <f>1705.28*[1]正常估值!D2</f>
        <v>12129.315584</v>
      </c>
      <c r="H28" s="56">
        <f>D28/F28</f>
        <v>3.3472803347280333</v>
      </c>
      <c r="I28" s="24">
        <v>0</v>
      </c>
      <c r="J28" s="25">
        <v>0.5</v>
      </c>
      <c r="K28" s="57">
        <f>I28/D28</f>
        <v>0</v>
      </c>
      <c r="L28" s="27">
        <f t="shared" si="2"/>
        <v>127.49694000000001</v>
      </c>
      <c r="M28" s="27">
        <f>W28/E28</f>
        <v>79.095515106023655</v>
      </c>
      <c r="N28" s="26">
        <f t="shared" si="3"/>
        <v>0.5</v>
      </c>
      <c r="O28" s="27">
        <f t="shared" si="17"/>
        <v>79.095515106023655</v>
      </c>
      <c r="P28" s="59">
        <f t="shared" si="18"/>
        <v>10.791206035587189</v>
      </c>
      <c r="Q28" s="4">
        <v>3938</v>
      </c>
      <c r="R28" s="4">
        <v>1539</v>
      </c>
      <c r="S28" s="4">
        <v>1084</v>
      </c>
      <c r="T28" s="4">
        <v>1124</v>
      </c>
      <c r="U28" s="4">
        <v>1124</v>
      </c>
      <c r="V28" s="29">
        <f t="shared" si="4"/>
        <v>1</v>
      </c>
      <c r="W28" s="4">
        <v>1124</v>
      </c>
      <c r="X28" s="4">
        <v>1189</v>
      </c>
      <c r="Y28" s="4">
        <v>0</v>
      </c>
      <c r="Z28" s="4">
        <v>127</v>
      </c>
      <c r="AA28" s="4">
        <v>0</v>
      </c>
      <c r="AB28" s="4">
        <v>3316</v>
      </c>
      <c r="AC28" s="4">
        <v>37</v>
      </c>
      <c r="AD28" s="4">
        <v>0</v>
      </c>
      <c r="AE28" s="4">
        <v>0</v>
      </c>
      <c r="AF28" s="4">
        <v>0</v>
      </c>
      <c r="AG28" s="4"/>
      <c r="AH28" s="4">
        <v>53</v>
      </c>
      <c r="AI28" s="4">
        <v>0</v>
      </c>
      <c r="AJ28" s="4">
        <v>5050</v>
      </c>
      <c r="AK28" s="4">
        <v>3133</v>
      </c>
      <c r="AL28" s="4">
        <v>894</v>
      </c>
      <c r="AM28" s="4">
        <v>1884</v>
      </c>
      <c r="AN28" s="5">
        <f t="shared" si="5"/>
        <v>3166</v>
      </c>
      <c r="AO28" s="32">
        <v>1219</v>
      </c>
      <c r="AP28" s="4">
        <v>10</v>
      </c>
      <c r="AQ28" s="4">
        <v>6</v>
      </c>
      <c r="AR28" s="13">
        <v>6</v>
      </c>
      <c r="AS28" s="28">
        <f t="shared" si="6"/>
        <v>7.333333333333333</v>
      </c>
      <c r="AT28" s="32">
        <v>485</v>
      </c>
      <c r="AU28" s="32">
        <v>941</v>
      </c>
      <c r="AV28" s="32">
        <v>1219</v>
      </c>
      <c r="AW28" s="32">
        <v>1124</v>
      </c>
      <c r="AX28" s="32">
        <v>600</v>
      </c>
      <c r="AY28" s="32">
        <v>315</v>
      </c>
      <c r="AZ28" s="33">
        <f t="shared" si="11"/>
        <v>1.2972045120156939</v>
      </c>
      <c r="BA28" s="34">
        <f t="shared" si="7"/>
        <v>881.66666666666663</v>
      </c>
      <c r="BB28" s="41">
        <f t="shared" si="12"/>
        <v>874.33333333333326</v>
      </c>
      <c r="BC28" s="34">
        <f t="shared" si="13"/>
        <v>3263</v>
      </c>
      <c r="BD28" s="28">
        <f t="shared" si="14"/>
        <v>444.9545454545455</v>
      </c>
      <c r="BE28" s="44">
        <f t="shared" si="8"/>
        <v>0.26901765210102063</v>
      </c>
      <c r="BF28" s="60" t="str">
        <f t="shared" si="9"/>
        <v>拼多多</v>
      </c>
    </row>
    <row r="29" spans="1:58" x14ac:dyDescent="0.2">
      <c r="A29" s="1" t="s">
        <v>63</v>
      </c>
      <c r="B29" s="2" t="s">
        <v>46</v>
      </c>
      <c r="C29" s="2">
        <v>23.8</v>
      </c>
      <c r="D29" s="22">
        <f t="shared" ref="D29:D57" si="20">C29*$B$2</f>
        <v>21.781760000000002</v>
      </c>
      <c r="E29" s="4">
        <v>32.44</v>
      </c>
      <c r="F29" s="4">
        <v>10.25</v>
      </c>
      <c r="G29" s="5">
        <f t="shared" si="0"/>
        <v>706.60029440000005</v>
      </c>
      <c r="H29" s="5">
        <f t="shared" si="10"/>
        <v>2.3219512195121954</v>
      </c>
      <c r="I29" s="24">
        <f>(0.349+0.287)/B2</f>
        <v>0.69493006993006978</v>
      </c>
      <c r="J29" s="25">
        <v>0.1</v>
      </c>
      <c r="K29" s="26">
        <f t="shared" si="19"/>
        <v>2.9198742434036546E-2</v>
      </c>
      <c r="L29" s="27">
        <f t="shared" si="2"/>
        <v>1.7199300699300699</v>
      </c>
      <c r="M29" s="27">
        <f t="shared" si="16"/>
        <v>1.6029593094944514</v>
      </c>
      <c r="N29" s="26">
        <f t="shared" si="3"/>
        <v>0.16779805560293365</v>
      </c>
      <c r="O29" s="27">
        <f t="shared" si="17"/>
        <v>1.6029593094944514</v>
      </c>
      <c r="P29" s="28">
        <f t="shared" si="18"/>
        <v>13.5884672</v>
      </c>
      <c r="Q29" s="4">
        <v>389</v>
      </c>
      <c r="R29" s="4">
        <v>228</v>
      </c>
      <c r="S29" s="4">
        <v>71</v>
      </c>
      <c r="T29" s="4">
        <v>52</v>
      </c>
      <c r="U29" s="4">
        <v>52</v>
      </c>
      <c r="V29" s="29">
        <f t="shared" si="4"/>
        <v>1</v>
      </c>
      <c r="W29" s="4">
        <v>52</v>
      </c>
      <c r="X29" s="4">
        <v>81</v>
      </c>
      <c r="Y29" s="4">
        <v>34</v>
      </c>
      <c r="Z29" s="2">
        <v>0</v>
      </c>
      <c r="AA29" s="4">
        <v>2.44</v>
      </c>
      <c r="AB29" s="4">
        <v>55</v>
      </c>
      <c r="AC29" s="4"/>
      <c r="AD29" s="4"/>
      <c r="AE29" s="4">
        <v>52</v>
      </c>
      <c r="AF29" s="4"/>
      <c r="AG29" s="4"/>
      <c r="AH29" s="4">
        <v>10</v>
      </c>
      <c r="AI29" s="4">
        <v>43</v>
      </c>
      <c r="AJ29" s="4">
        <v>715</v>
      </c>
      <c r="AK29" s="4">
        <v>342</v>
      </c>
      <c r="AL29" s="4">
        <v>537</v>
      </c>
      <c r="AM29" s="4">
        <v>261</v>
      </c>
      <c r="AN29" s="5">
        <f t="shared" si="5"/>
        <v>454</v>
      </c>
      <c r="AO29" s="30">
        <v>42</v>
      </c>
      <c r="AP29" s="4">
        <v>25</v>
      </c>
      <c r="AQ29" s="4">
        <v>17</v>
      </c>
      <c r="AR29" s="13">
        <v>15</v>
      </c>
      <c r="AS29" s="28">
        <f t="shared" si="6"/>
        <v>19</v>
      </c>
      <c r="AT29" s="32">
        <v>50</v>
      </c>
      <c r="AU29" s="32">
        <v>68</v>
      </c>
      <c r="AV29" s="32">
        <v>42</v>
      </c>
      <c r="AW29" s="32">
        <v>46</v>
      </c>
      <c r="AX29" s="32">
        <v>43</v>
      </c>
      <c r="AY29" s="32">
        <v>52</v>
      </c>
      <c r="AZ29" s="33">
        <f t="shared" si="11"/>
        <v>1.1347517730496455</v>
      </c>
      <c r="BA29" s="34">
        <f t="shared" si="7"/>
        <v>53.333333333333336</v>
      </c>
      <c r="BB29" s="41">
        <f t="shared" si="12"/>
        <v>34.333333333333336</v>
      </c>
      <c r="BC29" s="34">
        <f t="shared" si="13"/>
        <v>54</v>
      </c>
      <c r="BD29" s="28">
        <f t="shared" si="14"/>
        <v>2.8421052631578947</v>
      </c>
      <c r="BE29" s="35">
        <f t="shared" si="8"/>
        <v>7.6422272150131726E-2</v>
      </c>
      <c r="BF29" t="str">
        <f t="shared" si="9"/>
        <v>华润啤酒</v>
      </c>
    </row>
    <row r="30" spans="1:58" x14ac:dyDescent="0.2">
      <c r="A30" s="53" t="s">
        <v>64</v>
      </c>
      <c r="B30" s="2" t="s">
        <v>46</v>
      </c>
      <c r="C30" s="2">
        <v>50</v>
      </c>
      <c r="D30" s="22">
        <f t="shared" si="20"/>
        <v>45.76</v>
      </c>
      <c r="E30" s="4">
        <v>13.64</v>
      </c>
      <c r="F30" s="4">
        <v>20.8</v>
      </c>
      <c r="G30" s="5">
        <f t="shared" si="0"/>
        <v>624.16639999999995</v>
      </c>
      <c r="H30" s="5">
        <f t="shared" si="10"/>
        <v>2.4038461538461537</v>
      </c>
      <c r="I30" s="24">
        <f>2/B2</f>
        <v>2.1853146853146854</v>
      </c>
      <c r="J30" s="25">
        <v>0.09</v>
      </c>
      <c r="K30" s="26">
        <f t="shared" si="19"/>
        <v>4.3706293706293711E-2</v>
      </c>
      <c r="L30" s="27">
        <f t="shared" si="2"/>
        <v>4.0573146853146849</v>
      </c>
      <c r="M30" s="27">
        <f t="shared" si="16"/>
        <v>2.7126099706744866</v>
      </c>
      <c r="N30" s="26">
        <f t="shared" si="3"/>
        <v>0.19506320602474445</v>
      </c>
      <c r="O30" s="27">
        <f t="shared" si="17"/>
        <v>3.1304985337243401</v>
      </c>
      <c r="P30" s="28">
        <f t="shared" si="18"/>
        <v>16.869362162162162</v>
      </c>
      <c r="Q30" s="4">
        <v>339</v>
      </c>
      <c r="R30" s="4">
        <v>232</v>
      </c>
      <c r="S30" s="4">
        <v>55</v>
      </c>
      <c r="T30" s="4">
        <v>43.5</v>
      </c>
      <c r="U30" s="4">
        <v>42.7</v>
      </c>
      <c r="V30" s="29">
        <f t="shared" si="4"/>
        <v>0.98160919540229896</v>
      </c>
      <c r="W30" s="4">
        <v>37</v>
      </c>
      <c r="X30" s="4">
        <v>47</v>
      </c>
      <c r="Y30" s="4">
        <v>15.2</v>
      </c>
      <c r="Z30" s="2">
        <v>1</v>
      </c>
      <c r="AA30" s="4">
        <v>0.5</v>
      </c>
      <c r="AB30" s="4">
        <v>213</v>
      </c>
      <c r="AC30" s="4">
        <v>1</v>
      </c>
      <c r="AD30" s="4">
        <v>35</v>
      </c>
      <c r="AE30" s="4">
        <v>3.7</v>
      </c>
      <c r="AF30" s="4">
        <v>31.5</v>
      </c>
      <c r="AG30" s="4"/>
      <c r="AH30" s="4">
        <v>0</v>
      </c>
      <c r="AI30" s="4">
        <v>0.6</v>
      </c>
      <c r="AJ30" s="4">
        <v>493</v>
      </c>
      <c r="AK30" s="4">
        <v>283</v>
      </c>
      <c r="AL30" s="4">
        <v>196</v>
      </c>
      <c r="AM30" s="4">
        <v>169</v>
      </c>
      <c r="AN30" s="5">
        <f t="shared" si="5"/>
        <v>324</v>
      </c>
      <c r="AO30" s="30">
        <v>28</v>
      </c>
      <c r="AP30" s="4">
        <v>16.2</v>
      </c>
      <c r="AQ30" s="4">
        <v>17.8</v>
      </c>
      <c r="AR30" s="13">
        <v>16.399999999999999</v>
      </c>
      <c r="AS30" s="28">
        <f t="shared" si="6"/>
        <v>16.8</v>
      </c>
      <c r="AT30" s="32">
        <v>60</v>
      </c>
      <c r="AU30" s="32">
        <v>49</v>
      </c>
      <c r="AV30" s="32">
        <v>28</v>
      </c>
      <c r="AW30" s="32">
        <v>32</v>
      </c>
      <c r="AX30" s="32">
        <v>37</v>
      </c>
      <c r="AY30" s="32">
        <v>43</v>
      </c>
      <c r="AZ30" s="33">
        <f t="shared" si="11"/>
        <v>1.2232142857142858</v>
      </c>
      <c r="BA30" s="34">
        <f t="shared" si="7"/>
        <v>45.666666666666664</v>
      </c>
      <c r="BB30" s="41">
        <f t="shared" si="12"/>
        <v>28.866666666666664</v>
      </c>
      <c r="BC30" s="34">
        <f t="shared" si="13"/>
        <v>216.1</v>
      </c>
      <c r="BD30" s="28">
        <f t="shared" si="14"/>
        <v>12.863095238095237</v>
      </c>
      <c r="BE30" s="35">
        <f t="shared" si="8"/>
        <v>0.34622177675696741</v>
      </c>
      <c r="BF30" t="str">
        <f t="shared" si="9"/>
        <v>青岛啤酒</v>
      </c>
    </row>
    <row r="31" spans="1:58" x14ac:dyDescent="0.2">
      <c r="A31" s="50" t="s">
        <v>64</v>
      </c>
      <c r="B31" s="37" t="s">
        <v>47</v>
      </c>
      <c r="C31" s="38">
        <v>53</v>
      </c>
      <c r="D31" s="22">
        <f t="shared" si="20"/>
        <v>48.505600000000001</v>
      </c>
      <c r="E31" s="4">
        <v>13.64</v>
      </c>
      <c r="F31" s="4">
        <v>21.3</v>
      </c>
      <c r="G31" s="5">
        <f t="shared" si="0"/>
        <v>661.61638400000004</v>
      </c>
      <c r="H31" s="5">
        <f>C31/F31</f>
        <v>2.488262910798122</v>
      </c>
      <c r="I31" s="24">
        <v>2.113</v>
      </c>
      <c r="J31" s="25">
        <f>F31/F30-1</f>
        <v>2.4038461538461453E-2</v>
      </c>
      <c r="K31" s="26">
        <f t="shared" si="19"/>
        <v>3.9867924528301887E-2</v>
      </c>
      <c r="L31" s="27">
        <f t="shared" si="2"/>
        <v>2.6250192307692291</v>
      </c>
      <c r="M31" s="27">
        <f t="shared" si="16"/>
        <v>3.1891495601173019</v>
      </c>
      <c r="N31" s="39">
        <f t="shared" si="3"/>
        <v>0.12324033947273376</v>
      </c>
      <c r="O31" s="27">
        <f t="shared" si="17"/>
        <v>3.1891495601173019</v>
      </c>
      <c r="P31" s="28">
        <f t="shared" si="18"/>
        <v>15.209572045977012</v>
      </c>
      <c r="Q31" s="4">
        <v>321</v>
      </c>
      <c r="R31" s="4">
        <v>215</v>
      </c>
      <c r="S31" s="4">
        <v>58</v>
      </c>
      <c r="T31" s="4">
        <v>44.9</v>
      </c>
      <c r="U31" s="4">
        <v>43.5</v>
      </c>
      <c r="V31" s="29">
        <f t="shared" si="4"/>
        <v>0.9688195991091314</v>
      </c>
      <c r="W31" s="4">
        <v>43.5</v>
      </c>
      <c r="X31" s="4">
        <v>46</v>
      </c>
      <c r="Y31" s="4">
        <v>14</v>
      </c>
      <c r="Z31" s="2">
        <v>1</v>
      </c>
      <c r="AA31" s="4">
        <v>0.5</v>
      </c>
      <c r="AB31" s="4">
        <v>200</v>
      </c>
      <c r="AC31" s="4">
        <v>1</v>
      </c>
      <c r="AD31" s="4">
        <v>36</v>
      </c>
      <c r="AE31" s="4">
        <v>3.9</v>
      </c>
      <c r="AF31" s="4">
        <v>32.700000000000003</v>
      </c>
      <c r="AG31" s="4"/>
      <c r="AH31" s="4">
        <v>0</v>
      </c>
      <c r="AI31" s="4">
        <v>0.7</v>
      </c>
      <c r="AJ31" s="4">
        <v>514</v>
      </c>
      <c r="AK31" s="4">
        <v>299</v>
      </c>
      <c r="AL31" s="4">
        <v>262</v>
      </c>
      <c r="AM31" s="4">
        <v>175</v>
      </c>
      <c r="AN31" s="5">
        <f t="shared" si="5"/>
        <v>339</v>
      </c>
      <c r="AO31" s="30">
        <v>28</v>
      </c>
      <c r="AP31" s="4">
        <v>21.4</v>
      </c>
      <c r="AQ31" s="4">
        <v>16.2</v>
      </c>
      <c r="AR31" s="13">
        <v>17.8</v>
      </c>
      <c r="AS31" s="28">
        <f t="shared" si="6"/>
        <v>18.466666666666665</v>
      </c>
      <c r="AT31" s="32">
        <v>60</v>
      </c>
      <c r="AU31" s="32">
        <v>49</v>
      </c>
      <c r="AV31" s="32">
        <v>28</v>
      </c>
      <c r="AW31" s="32">
        <v>32</v>
      </c>
      <c r="AX31" s="32">
        <v>37</v>
      </c>
      <c r="AY31" s="32">
        <v>43</v>
      </c>
      <c r="AZ31" s="33">
        <f t="shared" si="11"/>
        <v>1.2232142857142858</v>
      </c>
      <c r="BA31" s="34">
        <f t="shared" si="7"/>
        <v>45.666666666666664</v>
      </c>
      <c r="BB31" s="41">
        <f t="shared" si="12"/>
        <v>27.2</v>
      </c>
      <c r="BC31" s="42">
        <f t="shared" si="13"/>
        <v>203.20000000000002</v>
      </c>
      <c r="BD31" s="43">
        <f t="shared" si="14"/>
        <v>11.003610108303251</v>
      </c>
      <c r="BE31" s="44">
        <f t="shared" si="8"/>
        <v>0.30712661432519783</v>
      </c>
      <c r="BF31" t="str">
        <f t="shared" si="9"/>
        <v>青岛啤酒</v>
      </c>
    </row>
    <row r="32" spans="1:58" x14ac:dyDescent="0.2">
      <c r="A32" s="65" t="s">
        <v>65</v>
      </c>
      <c r="B32" s="37" t="s">
        <v>47</v>
      </c>
      <c r="C32" s="2">
        <v>8.4</v>
      </c>
      <c r="D32" s="22">
        <f t="shared" si="20"/>
        <v>7.6876800000000003</v>
      </c>
      <c r="E32" s="4">
        <v>132.43</v>
      </c>
      <c r="F32" s="4">
        <f>6.1*B2</f>
        <v>5.5827200000000001</v>
      </c>
      <c r="G32" s="5">
        <f t="shared" si="0"/>
        <v>1018.0794624000001</v>
      </c>
      <c r="H32" s="5">
        <f>C32/F32</f>
        <v>1.5046428980855211</v>
      </c>
      <c r="I32" s="24">
        <v>0.44400000000000001</v>
      </c>
      <c r="J32" s="25">
        <v>-0.05</v>
      </c>
      <c r="K32" s="26">
        <f t="shared" si="19"/>
        <v>5.2857142857142853E-2</v>
      </c>
      <c r="L32" s="27">
        <f t="shared" si="2"/>
        <v>0.16486400000000001</v>
      </c>
      <c r="M32" s="27">
        <f t="shared" si="16"/>
        <v>5.4821415087215886E-2</v>
      </c>
      <c r="N32" s="26">
        <f t="shared" si="3"/>
        <v>2.9531124613091826E-2</v>
      </c>
      <c r="O32" s="27">
        <f t="shared" si="17"/>
        <v>5.4821415087215886E-2</v>
      </c>
      <c r="P32" s="28">
        <f t="shared" si="18"/>
        <v>140.23133090909093</v>
      </c>
      <c r="Q32" s="4">
        <v>62.5</v>
      </c>
      <c r="R32" s="4">
        <v>31</v>
      </c>
      <c r="S32" s="4">
        <v>10.86</v>
      </c>
      <c r="T32" s="4">
        <v>7.5</v>
      </c>
      <c r="U32" s="4">
        <v>7.26</v>
      </c>
      <c r="V32" s="29">
        <f t="shared" si="4"/>
        <v>0.96799999999999997</v>
      </c>
      <c r="W32" s="4">
        <v>7.26</v>
      </c>
      <c r="X32" s="4">
        <v>16.25</v>
      </c>
      <c r="Y32" s="4">
        <v>4.7699999999999996</v>
      </c>
      <c r="Z32" s="2">
        <v>0</v>
      </c>
      <c r="AA32" s="4">
        <v>0.35</v>
      </c>
      <c r="AB32" s="4">
        <v>29.44</v>
      </c>
      <c r="AC32" s="4">
        <v>3.6</v>
      </c>
      <c r="AD32" s="4">
        <v>3.76</v>
      </c>
      <c r="AE32" s="4">
        <v>5.04</v>
      </c>
      <c r="AF32" s="4">
        <v>16.329999999999998</v>
      </c>
      <c r="AG32" s="4"/>
      <c r="AH32" s="4">
        <v>1.36</v>
      </c>
      <c r="AI32" s="4">
        <v>0.7</v>
      </c>
      <c r="AJ32" s="4">
        <v>147.80000000000001</v>
      </c>
      <c r="AK32" s="4">
        <v>102.4</v>
      </c>
      <c r="AL32" s="4">
        <v>109.5</v>
      </c>
      <c r="AM32" s="4">
        <v>39.33</v>
      </c>
      <c r="AN32" s="5">
        <f>AJ32-AM32</f>
        <v>108.47000000000001</v>
      </c>
      <c r="AO32" s="30">
        <v>11.34</v>
      </c>
      <c r="AP32" s="4">
        <v>3.8</v>
      </c>
      <c r="AQ32" s="4">
        <v>5</v>
      </c>
      <c r="AR32" s="13">
        <v>4.9400000000000004</v>
      </c>
      <c r="AS32" s="28">
        <f>AVERAGE(AP32:AR32)</f>
        <v>4.580000000000001</v>
      </c>
      <c r="AT32" s="32">
        <v>15.77</v>
      </c>
      <c r="AU32" s="32">
        <v>18.11</v>
      </c>
      <c r="AV32" s="32">
        <v>11.34</v>
      </c>
      <c r="AW32" s="32">
        <v>7.5</v>
      </c>
      <c r="AX32" s="32">
        <v>8.8000000000000007</v>
      </c>
      <c r="AY32" s="32">
        <v>9.5</v>
      </c>
      <c r="AZ32" s="33">
        <f t="shared" si="11"/>
        <v>1.7527131782945735</v>
      </c>
      <c r="BA32" s="34">
        <f>AVERAGE(AT32:AV32)</f>
        <v>15.073333333333332</v>
      </c>
      <c r="BB32" s="41">
        <f t="shared" si="12"/>
        <v>10.493333333333332</v>
      </c>
      <c r="BC32" s="34">
        <f t="shared" si="13"/>
        <v>32.42</v>
      </c>
      <c r="BD32" s="28">
        <f t="shared" si="14"/>
        <v>7.0786026200873353</v>
      </c>
      <c r="BE32" s="35">
        <f t="shared" si="8"/>
        <v>3.1844272669614357E-2</v>
      </c>
      <c r="BF32" t="str">
        <f t="shared" si="9"/>
        <v>百威亚太</v>
      </c>
    </row>
    <row r="33" spans="1:58" x14ac:dyDescent="0.2">
      <c r="A33" s="53" t="s">
        <v>66</v>
      </c>
      <c r="B33" s="2" t="s">
        <v>46</v>
      </c>
      <c r="C33" s="2">
        <v>17.12</v>
      </c>
      <c r="D33" s="22">
        <f t="shared" si="20"/>
        <v>15.668224</v>
      </c>
      <c r="E33" s="4">
        <v>39.35</v>
      </c>
      <c r="F33" s="4">
        <v>11.26</v>
      </c>
      <c r="G33" s="5">
        <f t="shared" si="0"/>
        <v>616.5446144</v>
      </c>
      <c r="H33" s="51">
        <f>C33/F33</f>
        <v>1.5204262877442274</v>
      </c>
      <c r="I33" s="24">
        <v>0.48899999999999999</v>
      </c>
      <c r="J33" s="66">
        <v>0.1</v>
      </c>
      <c r="K33" s="26">
        <f t="shared" si="19"/>
        <v>2.8563084112149532E-2</v>
      </c>
      <c r="L33" s="27">
        <f t="shared" si="2"/>
        <v>1.6150000000000002</v>
      </c>
      <c r="M33" s="27">
        <f t="shared" si="16"/>
        <v>1.2198221092757306</v>
      </c>
      <c r="N33" s="26">
        <f t="shared" si="3"/>
        <v>0.14342806394316165</v>
      </c>
      <c r="O33" s="27">
        <f t="shared" si="17"/>
        <v>1.2198221092757306</v>
      </c>
      <c r="P33" s="49">
        <f t="shared" si="18"/>
        <v>12.844679466666667</v>
      </c>
      <c r="Q33" s="4">
        <v>986</v>
      </c>
      <c r="R33" s="4">
        <v>620</v>
      </c>
      <c r="S33" s="4">
        <v>62</v>
      </c>
      <c r="T33" s="4">
        <v>49</v>
      </c>
      <c r="U33" s="4">
        <v>48</v>
      </c>
      <c r="V33" s="29">
        <f t="shared" si="4"/>
        <v>0.97959183673469385</v>
      </c>
      <c r="W33" s="4">
        <v>48</v>
      </c>
      <c r="X33" s="4">
        <v>252</v>
      </c>
      <c r="Y33" s="4">
        <v>47</v>
      </c>
      <c r="Z33" s="2">
        <v>0</v>
      </c>
      <c r="AA33" s="4">
        <v>15.7</v>
      </c>
      <c r="AB33" s="4">
        <v>213</v>
      </c>
      <c r="AC33" s="4">
        <v>37</v>
      </c>
      <c r="AD33" s="4">
        <v>61</v>
      </c>
      <c r="AE33" s="4">
        <v>309</v>
      </c>
      <c r="AF33" s="4">
        <v>95</v>
      </c>
      <c r="AG33" s="4"/>
      <c r="AH33" s="4">
        <v>98</v>
      </c>
      <c r="AI33" s="4">
        <v>276</v>
      </c>
      <c r="AJ33" s="4">
        <v>1152</v>
      </c>
      <c r="AK33" s="4">
        <v>443</v>
      </c>
      <c r="AL33" s="4">
        <v>811</v>
      </c>
      <c r="AM33" s="4">
        <v>326</v>
      </c>
      <c r="AN33" s="5">
        <f t="shared" si="5"/>
        <v>826</v>
      </c>
      <c r="AO33" s="30">
        <v>83</v>
      </c>
      <c r="AP33" s="4">
        <v>39</v>
      </c>
      <c r="AQ33" s="4">
        <v>49</v>
      </c>
      <c r="AR33" s="13">
        <v>62</v>
      </c>
      <c r="AS33" s="28">
        <f t="shared" si="6"/>
        <v>50</v>
      </c>
      <c r="AT33" s="32">
        <v>75</v>
      </c>
      <c r="AU33" s="32">
        <v>83</v>
      </c>
      <c r="AV33" s="32">
        <v>83</v>
      </c>
      <c r="AW33" s="32">
        <v>50</v>
      </c>
      <c r="AX33" s="32">
        <v>53</v>
      </c>
      <c r="AY33" s="32">
        <v>48</v>
      </c>
      <c r="AZ33" s="33">
        <f t="shared" si="11"/>
        <v>1.5960264900662251</v>
      </c>
      <c r="BA33" s="34">
        <f t="shared" si="7"/>
        <v>80.333333333333329</v>
      </c>
      <c r="BB33" s="41">
        <f t="shared" si="12"/>
        <v>30.333333333333329</v>
      </c>
      <c r="BC33" s="34">
        <f t="shared" si="13"/>
        <v>148</v>
      </c>
      <c r="BD33" s="28">
        <f t="shared" si="14"/>
        <v>2.96</v>
      </c>
      <c r="BE33" s="44">
        <f t="shared" si="8"/>
        <v>0.24004751082616868</v>
      </c>
      <c r="BF33" t="str">
        <f t="shared" si="9"/>
        <v>蒙牛乳业</v>
      </c>
    </row>
    <row r="34" spans="1:58" ht="16" thickBot="1" x14ac:dyDescent="0.25">
      <c r="A34" s="1" t="s">
        <v>66</v>
      </c>
      <c r="B34" s="37" t="s">
        <v>47</v>
      </c>
      <c r="C34" s="67">
        <v>14.45</v>
      </c>
      <c r="D34" s="22">
        <f t="shared" si="20"/>
        <v>13.224639999999999</v>
      </c>
      <c r="E34" s="4">
        <v>39.159999999999997</v>
      </c>
      <c r="F34" s="4">
        <v>10.6</v>
      </c>
      <c r="G34" s="5">
        <f t="shared" si="0"/>
        <v>517.87690239999995</v>
      </c>
      <c r="H34" s="51">
        <f t="shared" si="10"/>
        <v>1.3632075471698113</v>
      </c>
      <c r="I34" s="24">
        <v>0.50900000000000001</v>
      </c>
      <c r="J34" s="66">
        <f>F34/F33-1</f>
        <v>-5.8614564831261151E-2</v>
      </c>
      <c r="K34" s="26">
        <f t="shared" si="19"/>
        <v>3.522491349480969E-2</v>
      </c>
      <c r="L34" s="27">
        <f t="shared" si="2"/>
        <v>-0.11231438721136822</v>
      </c>
      <c r="M34" s="27">
        <f t="shared" si="16"/>
        <v>1.3942798774259451</v>
      </c>
      <c r="N34" s="26">
        <f t="shared" si="3"/>
        <v>-1.059569690673285E-2</v>
      </c>
      <c r="O34" s="27">
        <f t="shared" si="17"/>
        <v>2.6813074565883558E-2</v>
      </c>
      <c r="P34" s="49">
        <f t="shared" si="18"/>
        <v>9.4849249523809505</v>
      </c>
      <c r="Q34" s="4">
        <v>887</v>
      </c>
      <c r="R34" s="4">
        <v>536</v>
      </c>
      <c r="S34" s="4">
        <v>16</v>
      </c>
      <c r="T34" s="4">
        <v>2.25</v>
      </c>
      <c r="U34" s="4">
        <v>1.05</v>
      </c>
      <c r="V34" s="29">
        <f t="shared" si="4"/>
        <v>0.46666666666666667</v>
      </c>
      <c r="W34" s="4">
        <v>54.6</v>
      </c>
      <c r="X34" s="4">
        <v>231</v>
      </c>
      <c r="Y34" s="4">
        <v>42</v>
      </c>
      <c r="Z34" s="2">
        <v>0</v>
      </c>
      <c r="AA34" s="4">
        <v>14.7</v>
      </c>
      <c r="AB34" s="4">
        <v>256</v>
      </c>
      <c r="AC34" s="4">
        <v>33</v>
      </c>
      <c r="AD34" s="4">
        <v>49</v>
      </c>
      <c r="AE34" s="4">
        <v>261</v>
      </c>
      <c r="AF34" s="4">
        <v>86</v>
      </c>
      <c r="AG34" s="4"/>
      <c r="AH34" s="4">
        <v>267</v>
      </c>
      <c r="AI34" s="4">
        <v>180</v>
      </c>
      <c r="AJ34" s="4">
        <v>1063</v>
      </c>
      <c r="AK34" s="4">
        <v>480</v>
      </c>
      <c r="AL34" s="4">
        <v>705</v>
      </c>
      <c r="AM34" s="4">
        <v>370</v>
      </c>
      <c r="AN34" s="5">
        <f t="shared" si="5"/>
        <v>693</v>
      </c>
      <c r="AO34" s="30">
        <v>83</v>
      </c>
      <c r="AP34" s="4">
        <v>36</v>
      </c>
      <c r="AQ34" s="4">
        <v>39</v>
      </c>
      <c r="AR34" s="13">
        <v>49</v>
      </c>
      <c r="AS34" s="28">
        <f t="shared" si="6"/>
        <v>41.333333333333336</v>
      </c>
      <c r="AT34" s="32">
        <v>83</v>
      </c>
      <c r="AU34" s="32">
        <v>83</v>
      </c>
      <c r="AV34" s="32">
        <v>83</v>
      </c>
      <c r="AW34" s="32">
        <v>50</v>
      </c>
      <c r="AX34" s="32">
        <v>50</v>
      </c>
      <c r="AY34" s="32">
        <v>53</v>
      </c>
      <c r="AZ34" s="33">
        <f t="shared" si="11"/>
        <v>1.6274509803921569</v>
      </c>
      <c r="BA34" s="34">
        <f t="shared" si="7"/>
        <v>83</v>
      </c>
      <c r="BB34" s="41">
        <f t="shared" si="12"/>
        <v>41.666666666666664</v>
      </c>
      <c r="BC34" s="34">
        <f t="shared" si="13"/>
        <v>70</v>
      </c>
      <c r="BD34" s="28">
        <f t="shared" si="14"/>
        <v>1.693548387096774</v>
      </c>
      <c r="BE34" s="35">
        <f t="shared" si="8"/>
        <v>0.13516725630279819</v>
      </c>
      <c r="BF34" t="str">
        <f t="shared" si="9"/>
        <v>蒙牛乳业</v>
      </c>
    </row>
    <row r="35" spans="1:58" ht="16" thickBot="1" x14ac:dyDescent="0.25">
      <c r="A35" s="53" t="s">
        <v>67</v>
      </c>
      <c r="B35" s="2" t="s">
        <v>46</v>
      </c>
      <c r="C35" s="2">
        <v>31.7</v>
      </c>
      <c r="D35" s="22">
        <f t="shared" si="20"/>
        <v>29.011839999999999</v>
      </c>
      <c r="E35" s="4">
        <v>35.11</v>
      </c>
      <c r="F35" s="4">
        <v>111</v>
      </c>
      <c r="G35" s="5">
        <f t="shared" si="0"/>
        <v>1018.6057023999999</v>
      </c>
      <c r="H35" s="51">
        <f t="shared" si="10"/>
        <v>0.28558558558558556</v>
      </c>
      <c r="I35" s="24">
        <f>1.62+0.43</f>
        <v>2.0500000000000003</v>
      </c>
      <c r="J35" s="66">
        <v>3.3000000000000002E-2</v>
      </c>
      <c r="K35" s="26">
        <f t="shared" si="19"/>
        <v>6.4668769716088342E-2</v>
      </c>
      <c r="L35" s="27">
        <f t="shared" si="2"/>
        <v>5.713000000000001</v>
      </c>
      <c r="M35" s="27">
        <f t="shared" si="16"/>
        <v>4.4146966676160639</v>
      </c>
      <c r="N35" s="26">
        <f t="shared" si="3"/>
        <v>5.1468468468468476E-2</v>
      </c>
      <c r="O35" s="27">
        <f t="shared" si="17"/>
        <v>5.0128168612930786</v>
      </c>
      <c r="P35" s="68">
        <f t="shared" si="18"/>
        <v>6.5716496929032253</v>
      </c>
      <c r="Q35" s="52">
        <v>710</v>
      </c>
      <c r="R35" s="4">
        <v>97</v>
      </c>
      <c r="S35" s="4">
        <v>178</v>
      </c>
      <c r="T35" s="4">
        <v>175</v>
      </c>
      <c r="U35" s="4">
        <v>176</v>
      </c>
      <c r="V35" s="29">
        <f t="shared" si="4"/>
        <v>1.0057142857142858</v>
      </c>
      <c r="W35" s="4">
        <v>155</v>
      </c>
      <c r="X35" s="4">
        <v>0</v>
      </c>
      <c r="Y35" s="4">
        <v>250</v>
      </c>
      <c r="Z35" s="2">
        <v>0</v>
      </c>
      <c r="AA35" s="4">
        <v>16</v>
      </c>
      <c r="AB35" s="4">
        <v>425</v>
      </c>
      <c r="AC35" s="4">
        <v>15.5</v>
      </c>
      <c r="AD35" s="4">
        <v>1301</v>
      </c>
      <c r="AE35" s="4">
        <v>984</v>
      </c>
      <c r="AF35" s="4">
        <v>41.7</v>
      </c>
      <c r="AG35" s="4"/>
      <c r="AH35" s="4">
        <v>178</v>
      </c>
      <c r="AI35" s="4">
        <v>426</v>
      </c>
      <c r="AJ35" s="4">
        <v>5088</v>
      </c>
      <c r="AK35" s="4">
        <v>3994</v>
      </c>
      <c r="AL35" s="4">
        <v>3264</v>
      </c>
      <c r="AM35" s="4">
        <v>518</v>
      </c>
      <c r="AN35" s="5">
        <f t="shared" si="5"/>
        <v>4570</v>
      </c>
      <c r="AO35" s="30">
        <v>3.78</v>
      </c>
      <c r="AP35" s="4">
        <v>43</v>
      </c>
      <c r="AQ35" s="4">
        <v>62</v>
      </c>
      <c r="AR35" s="13">
        <v>54</v>
      </c>
      <c r="AS35" s="28">
        <f t="shared" si="6"/>
        <v>53</v>
      </c>
      <c r="AT35" s="32">
        <v>254</v>
      </c>
      <c r="AU35" s="32">
        <v>66</v>
      </c>
      <c r="AV35" s="32">
        <v>4</v>
      </c>
      <c r="AW35" s="32">
        <v>215</v>
      </c>
      <c r="AX35" s="32">
        <v>220</v>
      </c>
      <c r="AY35" s="32">
        <v>176</v>
      </c>
      <c r="AZ35" s="33">
        <f t="shared" si="11"/>
        <v>0.530278232405892</v>
      </c>
      <c r="BA35" s="34">
        <f t="shared" si="7"/>
        <v>108</v>
      </c>
      <c r="BB35" s="41">
        <f t="shared" si="12"/>
        <v>55</v>
      </c>
      <c r="BC35" s="34">
        <f t="shared" si="13"/>
        <v>805</v>
      </c>
      <c r="BD35" s="28">
        <f t="shared" si="14"/>
        <v>15.188679245283019</v>
      </c>
      <c r="BE35" s="69">
        <f t="shared" si="8"/>
        <v>0.79029598803863921</v>
      </c>
      <c r="BF35" t="str">
        <f t="shared" si="9"/>
        <v>长实集团</v>
      </c>
    </row>
    <row r="36" spans="1:58" ht="16" thickBot="1" x14ac:dyDescent="0.25">
      <c r="A36" s="1" t="s">
        <v>67</v>
      </c>
      <c r="B36" s="37" t="s">
        <v>47</v>
      </c>
      <c r="C36" s="2">
        <v>37</v>
      </c>
      <c r="D36" s="22">
        <f t="shared" si="20"/>
        <v>33.862400000000001</v>
      </c>
      <c r="E36" s="4">
        <v>35</v>
      </c>
      <c r="F36" s="4">
        <v>113</v>
      </c>
      <c r="G36" s="5">
        <f t="shared" si="0"/>
        <v>1185.184</v>
      </c>
      <c r="H36" s="51">
        <f>C36/F36</f>
        <v>0.32743362831858408</v>
      </c>
      <c r="I36" s="24">
        <v>1.74</v>
      </c>
      <c r="J36" s="66">
        <f>F36/F35-1</f>
        <v>1.8018018018018056E-2</v>
      </c>
      <c r="K36" s="26">
        <f t="shared" si="19"/>
        <v>4.7027027027027025E-2</v>
      </c>
      <c r="L36" s="27">
        <f t="shared" si="2"/>
        <v>3.7760360360360403</v>
      </c>
      <c r="M36" s="27">
        <f t="shared" si="16"/>
        <v>3.9714285714285715</v>
      </c>
      <c r="N36" s="26">
        <f t="shared" si="3"/>
        <v>3.3416248106513634E-2</v>
      </c>
      <c r="O36" s="27">
        <f t="shared" si="17"/>
        <v>3.9714285714285715</v>
      </c>
      <c r="P36" s="68">
        <f t="shared" si="18"/>
        <v>8.5265035971223018</v>
      </c>
      <c r="Q36" s="52">
        <v>716</v>
      </c>
      <c r="R36" s="4">
        <v>88</v>
      </c>
      <c r="S36" s="4">
        <v>116</v>
      </c>
      <c r="T36" s="4">
        <v>137</v>
      </c>
      <c r="U36" s="4">
        <v>139</v>
      </c>
      <c r="V36" s="29">
        <f t="shared" si="4"/>
        <v>1.0145985401459854</v>
      </c>
      <c r="W36" s="4">
        <v>139</v>
      </c>
      <c r="X36" s="4">
        <v>0</v>
      </c>
      <c r="Y36" s="4">
        <v>261</v>
      </c>
      <c r="Z36" s="2">
        <v>0</v>
      </c>
      <c r="AA36" s="4">
        <v>20</v>
      </c>
      <c r="AB36" s="4">
        <v>361</v>
      </c>
      <c r="AC36" s="4">
        <v>21</v>
      </c>
      <c r="AD36" s="4">
        <v>1298</v>
      </c>
      <c r="AE36" s="4">
        <v>975</v>
      </c>
      <c r="AF36" s="4">
        <v>37</v>
      </c>
      <c r="AG36" s="4"/>
      <c r="AH36" s="4">
        <v>111</v>
      </c>
      <c r="AI36" s="4">
        <v>462</v>
      </c>
      <c r="AJ36" s="4">
        <v>5017</v>
      </c>
      <c r="AK36" s="4">
        <v>4002</v>
      </c>
      <c r="AL36" s="4">
        <v>3258</v>
      </c>
      <c r="AM36" s="4">
        <v>413</v>
      </c>
      <c r="AN36" s="5">
        <f t="shared" si="5"/>
        <v>4604</v>
      </c>
      <c r="AO36" s="30">
        <v>3.78</v>
      </c>
      <c r="AP36" s="4">
        <v>43</v>
      </c>
      <c r="AQ36" s="4">
        <v>62</v>
      </c>
      <c r="AR36" s="13">
        <v>54</v>
      </c>
      <c r="AS36" s="28">
        <f>AVERAGE(AP36:AR36)</f>
        <v>53</v>
      </c>
      <c r="AT36" s="32">
        <v>254</v>
      </c>
      <c r="AU36" s="32">
        <v>66</v>
      </c>
      <c r="AV36" s="32">
        <v>4</v>
      </c>
      <c r="AW36" s="32">
        <v>215</v>
      </c>
      <c r="AX36" s="32">
        <v>220</v>
      </c>
      <c r="AY36" s="32">
        <v>176</v>
      </c>
      <c r="AZ36" s="33">
        <f t="shared" si="11"/>
        <v>0.530278232405892</v>
      </c>
      <c r="BA36" s="34">
        <f t="shared" si="7"/>
        <v>108</v>
      </c>
      <c r="BB36" s="41">
        <f t="shared" si="12"/>
        <v>55</v>
      </c>
      <c r="BC36" s="34">
        <f t="shared" si="13"/>
        <v>763</v>
      </c>
      <c r="BD36" s="28">
        <f t="shared" si="14"/>
        <v>14.39622641509434</v>
      </c>
      <c r="BE36" s="44">
        <f t="shared" si="8"/>
        <v>0.64378189378189377</v>
      </c>
      <c r="BF36" t="str">
        <f t="shared" si="9"/>
        <v>长实集团</v>
      </c>
    </row>
    <row r="37" spans="1:58" ht="16" thickBot="1" x14ac:dyDescent="0.25">
      <c r="A37" s="1" t="s">
        <v>68</v>
      </c>
      <c r="B37" s="2" t="s">
        <v>46</v>
      </c>
      <c r="C37" s="2">
        <v>51</v>
      </c>
      <c r="D37" s="22">
        <f t="shared" si="20"/>
        <v>46.675200000000004</v>
      </c>
      <c r="E37" s="4">
        <v>38.299999999999997</v>
      </c>
      <c r="F37" s="4">
        <v>143.24</v>
      </c>
      <c r="G37" s="5">
        <f t="shared" si="0"/>
        <v>1787.6601599999999</v>
      </c>
      <c r="H37" s="51">
        <f t="shared" si="10"/>
        <v>0.35604579726333424</v>
      </c>
      <c r="I37" s="24">
        <f>1.775+0.756</f>
        <v>2.5309999999999997</v>
      </c>
      <c r="J37" s="66">
        <v>0.03</v>
      </c>
      <c r="K37" s="26">
        <f t="shared" si="19"/>
        <v>4.9627450980392153E-2</v>
      </c>
      <c r="L37" s="27">
        <f t="shared" si="2"/>
        <v>6.8281999999999998</v>
      </c>
      <c r="M37" s="27">
        <f t="shared" si="16"/>
        <v>6.1357702349869454</v>
      </c>
      <c r="N37" s="26">
        <f t="shared" si="3"/>
        <v>4.7669645350460761E-2</v>
      </c>
      <c r="O37" s="27">
        <f t="shared" si="17"/>
        <v>6.1357702349869454</v>
      </c>
      <c r="P37" s="68">
        <f t="shared" si="18"/>
        <v>7.6070645106382973</v>
      </c>
      <c r="Q37" s="52">
        <v>2756</v>
      </c>
      <c r="R37" s="4">
        <v>1057</v>
      </c>
      <c r="S37" s="4">
        <v>150</v>
      </c>
      <c r="T37" s="4">
        <v>302</v>
      </c>
      <c r="U37" s="4">
        <v>235</v>
      </c>
      <c r="V37" s="29">
        <f t="shared" si="4"/>
        <v>0.77814569536423839</v>
      </c>
      <c r="W37" s="4">
        <v>235</v>
      </c>
      <c r="X37" s="4">
        <v>0</v>
      </c>
      <c r="Y37" s="4">
        <v>945</v>
      </c>
      <c r="Z37" s="2">
        <v>0</v>
      </c>
      <c r="AA37" s="4">
        <v>122</v>
      </c>
      <c r="AB37" s="4">
        <v>1273</v>
      </c>
      <c r="AC37" s="4"/>
      <c r="AD37" s="4"/>
      <c r="AE37" s="4">
        <v>3157</v>
      </c>
      <c r="AF37" s="4"/>
      <c r="AG37" s="4"/>
      <c r="AH37" s="4">
        <v>719</v>
      </c>
      <c r="AI37" s="4">
        <v>2711</v>
      </c>
      <c r="AJ37" s="4">
        <v>11600</v>
      </c>
      <c r="AK37" s="4">
        <v>6705</v>
      </c>
      <c r="AL37" s="4">
        <v>9203</v>
      </c>
      <c r="AM37" s="4">
        <v>1310</v>
      </c>
      <c r="AN37" s="5">
        <f t="shared" si="5"/>
        <v>10290</v>
      </c>
      <c r="AO37" s="30">
        <v>514</v>
      </c>
      <c r="AP37" s="4">
        <v>217</v>
      </c>
      <c r="AQ37" s="4">
        <v>239</v>
      </c>
      <c r="AR37" s="13">
        <v>270</v>
      </c>
      <c r="AS37" s="28">
        <f t="shared" si="6"/>
        <v>242</v>
      </c>
      <c r="AT37" s="32">
        <v>522</v>
      </c>
      <c r="AU37" s="32">
        <v>567</v>
      </c>
      <c r="AV37" s="32">
        <v>514</v>
      </c>
      <c r="AW37" s="32">
        <v>335</v>
      </c>
      <c r="AX37" s="32">
        <v>367</v>
      </c>
      <c r="AY37" s="32">
        <v>235</v>
      </c>
      <c r="AZ37" s="33">
        <f t="shared" si="11"/>
        <v>1.7107790821771611</v>
      </c>
      <c r="BA37" s="34">
        <f t="shared" si="7"/>
        <v>534.33333333333337</v>
      </c>
      <c r="BB37" s="41">
        <f t="shared" si="12"/>
        <v>292.33333333333337</v>
      </c>
      <c r="BC37" s="34">
        <f t="shared" si="13"/>
        <v>1000</v>
      </c>
      <c r="BD37" s="28">
        <f t="shared" si="14"/>
        <v>4.1322314049586772</v>
      </c>
      <c r="BE37" s="35">
        <f t="shared" si="8"/>
        <v>0.55939043805730948</v>
      </c>
      <c r="BF37" t="str">
        <f t="shared" si="9"/>
        <v>长和</v>
      </c>
    </row>
    <row r="38" spans="1:58" s="60" customFormat="1" x14ac:dyDescent="0.2">
      <c r="A38" s="61" t="s">
        <v>69</v>
      </c>
      <c r="B38" s="4" t="s">
        <v>46</v>
      </c>
      <c r="C38" s="4">
        <v>53</v>
      </c>
      <c r="D38" s="22">
        <f t="shared" si="20"/>
        <v>48.505600000000001</v>
      </c>
      <c r="E38" s="4">
        <v>25.2</v>
      </c>
      <c r="F38" s="4">
        <v>52.86</v>
      </c>
      <c r="G38" s="5">
        <f t="shared" si="0"/>
        <v>1222.34112</v>
      </c>
      <c r="H38" s="51">
        <f t="shared" si="10"/>
        <v>1.00264850548619</v>
      </c>
      <c r="I38" s="24">
        <f>1.85+0.71</f>
        <v>2.56</v>
      </c>
      <c r="J38" s="66">
        <v>0.03</v>
      </c>
      <c r="K38" s="26">
        <f t="shared" si="19"/>
        <v>4.8301886792452828E-2</v>
      </c>
      <c r="L38" s="27">
        <f t="shared" si="2"/>
        <v>4.1457999999999995</v>
      </c>
      <c r="M38" s="27">
        <f t="shared" si="16"/>
        <v>3.1746031746031749</v>
      </c>
      <c r="N38" s="26">
        <f t="shared" si="3"/>
        <v>7.8429814604615955E-2</v>
      </c>
      <c r="O38" s="27">
        <f t="shared" si="17"/>
        <v>3.373015873015873</v>
      </c>
      <c r="P38" s="54">
        <f t="shared" si="18"/>
        <v>15.279264000000001</v>
      </c>
      <c r="Q38" s="4">
        <v>386</v>
      </c>
      <c r="R38" s="4"/>
      <c r="S38" s="4">
        <v>23.2</v>
      </c>
      <c r="T38" s="4">
        <v>85</v>
      </c>
      <c r="U38" s="4">
        <v>85</v>
      </c>
      <c r="V38" s="29">
        <f t="shared" si="4"/>
        <v>1</v>
      </c>
      <c r="W38" s="4">
        <v>80</v>
      </c>
      <c r="X38" s="4">
        <v>0</v>
      </c>
      <c r="Y38" s="4">
        <v>43</v>
      </c>
      <c r="Z38" s="4">
        <v>0</v>
      </c>
      <c r="AA38" s="4">
        <v>7.7</v>
      </c>
      <c r="AB38" s="4">
        <v>136</v>
      </c>
      <c r="AC38" s="4"/>
      <c r="AD38" s="4"/>
      <c r="AE38" s="4">
        <v>1456</v>
      </c>
      <c r="AF38" s="4"/>
      <c r="AG38" s="4"/>
      <c r="AH38" s="4">
        <v>90</v>
      </c>
      <c r="AI38" s="4">
        <v>152</v>
      </c>
      <c r="AJ38" s="4">
        <v>1659</v>
      </c>
      <c r="AK38" s="4">
        <v>1333</v>
      </c>
      <c r="AL38" s="4">
        <v>1483</v>
      </c>
      <c r="AM38" s="4">
        <v>112</v>
      </c>
      <c r="AN38" s="5">
        <f t="shared" si="5"/>
        <v>1547</v>
      </c>
      <c r="AO38" s="32">
        <f>38.5+24</f>
        <v>62.5</v>
      </c>
      <c r="AP38" s="4">
        <v>3.2</v>
      </c>
      <c r="AQ38" s="4">
        <v>4.7</v>
      </c>
      <c r="AR38" s="13">
        <v>3.6</v>
      </c>
      <c r="AS38" s="28">
        <f t="shared" si="6"/>
        <v>3.8333333333333335</v>
      </c>
      <c r="AT38" s="32">
        <f>31+43</f>
        <v>74</v>
      </c>
      <c r="AU38" s="32">
        <f>17+149</f>
        <v>166</v>
      </c>
      <c r="AV38" s="32">
        <f>24+38.5</f>
        <v>62.5</v>
      </c>
      <c r="AW38" s="32">
        <v>79.5</v>
      </c>
      <c r="AX38" s="32">
        <v>82</v>
      </c>
      <c r="AY38" s="32">
        <v>85</v>
      </c>
      <c r="AZ38" s="33">
        <f t="shared" si="11"/>
        <v>1.2271805273833671</v>
      </c>
      <c r="BA38" s="34">
        <f t="shared" si="7"/>
        <v>100.83333333333333</v>
      </c>
      <c r="BB38" s="41">
        <f t="shared" si="12"/>
        <v>97</v>
      </c>
      <c r="BC38" s="34">
        <f t="shared" si="13"/>
        <v>1350</v>
      </c>
      <c r="BD38" s="28">
        <f t="shared" si="14"/>
        <v>352.17391304347825</v>
      </c>
      <c r="BE38" s="35">
        <f t="shared" si="8"/>
        <v>1.1044380148153732</v>
      </c>
      <c r="BF38" s="60" t="str">
        <f t="shared" si="9"/>
        <v>长江基建</v>
      </c>
    </row>
    <row r="39" spans="1:58" s="60" customFormat="1" ht="16" thickBot="1" x14ac:dyDescent="0.25">
      <c r="A39" s="61" t="s">
        <v>70</v>
      </c>
      <c r="B39" s="4" t="s">
        <v>46</v>
      </c>
      <c r="C39" s="4">
        <v>50.7</v>
      </c>
      <c r="D39" s="22">
        <f t="shared" si="20"/>
        <v>46.400640000000003</v>
      </c>
      <c r="E39" s="4">
        <v>21.31</v>
      </c>
      <c r="F39" s="4">
        <v>41.65</v>
      </c>
      <c r="G39" s="5">
        <f t="shared" si="0"/>
        <v>988.79763839999998</v>
      </c>
      <c r="H39" s="51">
        <f t="shared" si="10"/>
        <v>1.2172869147659064</v>
      </c>
      <c r="I39" s="24">
        <f>2.04+0.78</f>
        <v>2.8200000000000003</v>
      </c>
      <c r="J39" s="66">
        <v>0.02</v>
      </c>
      <c r="K39" s="26">
        <f t="shared" si="19"/>
        <v>5.562130177514793E-2</v>
      </c>
      <c r="L39" s="27">
        <f t="shared" si="2"/>
        <v>3.6530000000000005</v>
      </c>
      <c r="M39" s="27">
        <f t="shared" si="16"/>
        <v>2.8155795401220085</v>
      </c>
      <c r="N39" s="26">
        <f t="shared" si="3"/>
        <v>8.7707082833133262E-2</v>
      </c>
      <c r="O39" s="27">
        <f t="shared" si="17"/>
        <v>2.8155795401220085</v>
      </c>
      <c r="P39" s="49">
        <f t="shared" si="18"/>
        <v>16.479960639999998</v>
      </c>
      <c r="Q39" s="4">
        <v>12.92</v>
      </c>
      <c r="R39" s="4"/>
      <c r="S39" s="4">
        <v>9.8800000000000008</v>
      </c>
      <c r="T39" s="4">
        <v>60</v>
      </c>
      <c r="U39" s="4">
        <v>60</v>
      </c>
      <c r="V39" s="29">
        <f t="shared" si="4"/>
        <v>1</v>
      </c>
      <c r="W39" s="4">
        <v>60</v>
      </c>
      <c r="X39" s="4">
        <v>0</v>
      </c>
      <c r="Y39" s="4">
        <v>0</v>
      </c>
      <c r="Z39" s="4">
        <v>0</v>
      </c>
      <c r="AA39" s="4">
        <v>1.4</v>
      </c>
      <c r="AB39" s="4">
        <v>42</v>
      </c>
      <c r="AC39" s="4"/>
      <c r="AD39" s="4"/>
      <c r="AE39" s="4">
        <v>913</v>
      </c>
      <c r="AF39" s="4"/>
      <c r="AG39" s="4"/>
      <c r="AH39" s="4">
        <v>0</v>
      </c>
      <c r="AI39" s="4">
        <v>31</v>
      </c>
      <c r="AJ39" s="4">
        <v>957</v>
      </c>
      <c r="AK39" s="4">
        <v>888</v>
      </c>
      <c r="AL39" s="4">
        <v>906</v>
      </c>
      <c r="AM39" s="4">
        <v>41</v>
      </c>
      <c r="AN39" s="5">
        <f t="shared" si="5"/>
        <v>916</v>
      </c>
      <c r="AO39" s="32">
        <f>11.4+46</f>
        <v>57.4</v>
      </c>
      <c r="AP39" s="4">
        <v>0</v>
      </c>
      <c r="AQ39" s="4">
        <v>0</v>
      </c>
      <c r="AR39" s="13">
        <v>0</v>
      </c>
      <c r="AS39" s="28">
        <f t="shared" si="6"/>
        <v>0</v>
      </c>
      <c r="AT39" s="32">
        <f>9.4+59</f>
        <v>68.400000000000006</v>
      </c>
      <c r="AU39" s="32">
        <f>7.7+40</f>
        <v>47.7</v>
      </c>
      <c r="AV39" s="32">
        <f>11.4+46</f>
        <v>57.4</v>
      </c>
      <c r="AW39" s="32">
        <v>61</v>
      </c>
      <c r="AX39" s="32">
        <v>56</v>
      </c>
      <c r="AY39" s="32">
        <v>60</v>
      </c>
      <c r="AZ39" s="33">
        <f t="shared" si="11"/>
        <v>0.98022598870056499</v>
      </c>
      <c r="BA39" s="34">
        <f t="shared" si="7"/>
        <v>57.833333333333336</v>
      </c>
      <c r="BB39" s="41">
        <f t="shared" si="12"/>
        <v>57.833333333333336</v>
      </c>
      <c r="BC39" s="34">
        <f t="shared" si="13"/>
        <v>924</v>
      </c>
      <c r="BD39" s="28"/>
      <c r="BE39" s="35">
        <f t="shared" si="8"/>
        <v>0.93446825125427002</v>
      </c>
      <c r="BF39" s="60" t="str">
        <f t="shared" si="9"/>
        <v>电能实业</v>
      </c>
    </row>
    <row r="40" spans="1:58" ht="16" thickBot="1" x14ac:dyDescent="0.25">
      <c r="A40" s="1" t="s">
        <v>71</v>
      </c>
      <c r="B40" s="2" t="s">
        <v>46</v>
      </c>
      <c r="C40" s="2">
        <v>16.940000000000001</v>
      </c>
      <c r="D40" s="22">
        <f t="shared" si="20"/>
        <v>15.503488000000001</v>
      </c>
      <c r="E40" s="4">
        <v>16.260000000000002</v>
      </c>
      <c r="F40" s="4">
        <v>24.9</v>
      </c>
      <c r="G40" s="5">
        <f t="shared" si="0"/>
        <v>252.08671488000005</v>
      </c>
      <c r="H40" s="51">
        <f t="shared" si="10"/>
        <v>0.68032128514056234</v>
      </c>
      <c r="I40" s="24">
        <f>0.749/B2</f>
        <v>0.81840034965034969</v>
      </c>
      <c r="J40" s="66">
        <v>0.1</v>
      </c>
      <c r="K40" s="26">
        <f t="shared" si="19"/>
        <v>4.8311708952204817E-2</v>
      </c>
      <c r="L40" s="27">
        <f t="shared" si="2"/>
        <v>3.3084003496503498</v>
      </c>
      <c r="M40" s="27">
        <f t="shared" si="16"/>
        <v>2.5215252152521521</v>
      </c>
      <c r="N40" s="26">
        <f t="shared" si="3"/>
        <v>0.13286748392170081</v>
      </c>
      <c r="O40" s="27">
        <f t="shared" si="17"/>
        <v>2.5215252152521521</v>
      </c>
      <c r="P40" s="68">
        <f t="shared" si="18"/>
        <v>6.1484564604878056</v>
      </c>
      <c r="Q40" s="52">
        <v>755</v>
      </c>
      <c r="R40" s="4">
        <v>617</v>
      </c>
      <c r="S40" s="4">
        <v>50</v>
      </c>
      <c r="T40" s="4">
        <v>43</v>
      </c>
      <c r="U40" s="4">
        <v>41</v>
      </c>
      <c r="V40" s="29">
        <f t="shared" si="4"/>
        <v>0.95348837209302328</v>
      </c>
      <c r="W40" s="4">
        <v>41</v>
      </c>
      <c r="X40" s="4">
        <v>61</v>
      </c>
      <c r="Y40" s="4">
        <v>24</v>
      </c>
      <c r="Z40" s="2">
        <v>7.8</v>
      </c>
      <c r="AA40" s="4">
        <v>4.7</v>
      </c>
      <c r="AB40" s="4">
        <v>213</v>
      </c>
      <c r="AC40" s="4">
        <v>160</v>
      </c>
      <c r="AD40" s="4">
        <v>115</v>
      </c>
      <c r="AE40" s="4">
        <v>19</v>
      </c>
      <c r="AF40" s="4">
        <v>157</v>
      </c>
      <c r="AG40" s="4"/>
      <c r="AH40" s="4">
        <v>78</v>
      </c>
      <c r="AI40" s="4">
        <v>39</v>
      </c>
      <c r="AJ40" s="4">
        <v>786</v>
      </c>
      <c r="AK40" s="4">
        <v>367</v>
      </c>
      <c r="AL40" s="4">
        <v>226</v>
      </c>
      <c r="AM40" s="4">
        <v>389</v>
      </c>
      <c r="AN40" s="5">
        <f t="shared" si="5"/>
        <v>397</v>
      </c>
      <c r="AO40" s="30">
        <v>41</v>
      </c>
      <c r="AP40" s="4">
        <v>16</v>
      </c>
      <c r="AQ40" s="4">
        <v>14</v>
      </c>
      <c r="AR40" s="13">
        <v>13</v>
      </c>
      <c r="AS40" s="28">
        <f t="shared" si="6"/>
        <v>14.333333333333334</v>
      </c>
      <c r="AT40" s="32">
        <v>57</v>
      </c>
      <c r="AU40" s="32">
        <v>70</v>
      </c>
      <c r="AV40" s="32">
        <v>41</v>
      </c>
      <c r="AW40" s="32">
        <v>43</v>
      </c>
      <c r="AX40" s="32">
        <v>43</v>
      </c>
      <c r="AY40" s="32">
        <v>37</v>
      </c>
      <c r="AZ40" s="33">
        <f t="shared" si="11"/>
        <v>1.3658536585365855</v>
      </c>
      <c r="BA40" s="34">
        <f t="shared" si="7"/>
        <v>56</v>
      </c>
      <c r="BB40" s="41">
        <f t="shared" si="12"/>
        <v>41.666666666666664</v>
      </c>
      <c r="BC40" s="34">
        <f t="shared" si="13"/>
        <v>115</v>
      </c>
      <c r="BD40" s="28">
        <f t="shared" si="14"/>
        <v>8.0232558139534884</v>
      </c>
      <c r="BE40" s="35">
        <f t="shared" si="8"/>
        <v>0.4561922275624205</v>
      </c>
      <c r="BF40" t="str">
        <f t="shared" si="9"/>
        <v>白云山</v>
      </c>
    </row>
    <row r="41" spans="1:58" ht="16" thickBot="1" x14ac:dyDescent="0.25">
      <c r="A41" s="1" t="s">
        <v>71</v>
      </c>
      <c r="B41" s="37" t="s">
        <v>47</v>
      </c>
      <c r="C41" s="2">
        <v>18.02</v>
      </c>
      <c r="D41" s="22">
        <f t="shared" si="20"/>
        <v>16.491903999999998</v>
      </c>
      <c r="E41" s="4">
        <v>16.260000000000002</v>
      </c>
      <c r="F41" s="4">
        <v>25.48</v>
      </c>
      <c r="G41" s="5">
        <f t="shared" si="0"/>
        <v>268.15835903999999</v>
      </c>
      <c r="H41" s="51">
        <f>C41/F41</f>
        <v>0.70722135007849296</v>
      </c>
      <c r="I41" s="24">
        <v>0.875</v>
      </c>
      <c r="J41" s="66">
        <v>0.03</v>
      </c>
      <c r="K41" s="26">
        <f>I41/C41</f>
        <v>4.8557158712541619E-2</v>
      </c>
      <c r="L41" s="27">
        <f>I41+F41*J41</f>
        <v>1.6394</v>
      </c>
      <c r="M41" s="27">
        <f>W41/E41</f>
        <v>1.4489544895448951</v>
      </c>
      <c r="N41" s="26">
        <f>L41/F41</f>
        <v>6.4340659340659342E-2</v>
      </c>
      <c r="O41" s="27">
        <f>U41/E41</f>
        <v>1.7435424354243541</v>
      </c>
      <c r="P41" s="68">
        <f>D41*E41/W41</f>
        <v>11.38193374533107</v>
      </c>
      <c r="Q41" s="52">
        <v>751</v>
      </c>
      <c r="R41" s="4">
        <v>630</v>
      </c>
      <c r="S41" s="4">
        <v>36</v>
      </c>
      <c r="T41" s="4">
        <v>30</v>
      </c>
      <c r="U41" s="4">
        <v>28.35</v>
      </c>
      <c r="V41" s="29">
        <f t="shared" si="4"/>
        <v>0.94500000000000006</v>
      </c>
      <c r="W41" s="4">
        <v>23.56</v>
      </c>
      <c r="X41" s="4">
        <v>56</v>
      </c>
      <c r="Y41" s="4">
        <v>24</v>
      </c>
      <c r="Z41" s="2">
        <v>7.64</v>
      </c>
      <c r="AA41" s="4">
        <v>4.18</v>
      </c>
      <c r="AB41" s="4">
        <v>183</v>
      </c>
      <c r="AC41" s="4">
        <v>162</v>
      </c>
      <c r="AD41" s="4">
        <v>128</v>
      </c>
      <c r="AE41" s="4">
        <v>16</v>
      </c>
      <c r="AF41" s="4">
        <v>163</v>
      </c>
      <c r="AG41" s="4"/>
      <c r="AH41" s="4">
        <v>91</v>
      </c>
      <c r="AI41" s="4">
        <v>28</v>
      </c>
      <c r="AJ41" s="4">
        <v>817</v>
      </c>
      <c r="AK41" s="4">
        <v>378</v>
      </c>
      <c r="AL41" s="4">
        <v>239</v>
      </c>
      <c r="AM41" s="4">
        <v>389</v>
      </c>
      <c r="AN41" s="5">
        <f>AJ41-AM41</f>
        <v>428</v>
      </c>
      <c r="AO41" s="30">
        <v>34.4</v>
      </c>
      <c r="AP41" s="4">
        <v>16</v>
      </c>
      <c r="AQ41" s="4">
        <v>14</v>
      </c>
      <c r="AR41" s="13">
        <v>11.3</v>
      </c>
      <c r="AS41" s="28">
        <f>AVERAGE(AP41:AR41)</f>
        <v>13.766666666666666</v>
      </c>
      <c r="AT41" s="32">
        <v>34.4</v>
      </c>
      <c r="AU41" s="32">
        <v>70</v>
      </c>
      <c r="AV41" s="32">
        <v>41</v>
      </c>
      <c r="AW41" s="32">
        <v>30</v>
      </c>
      <c r="AX41" s="32">
        <v>43</v>
      </c>
      <c r="AY41" s="32">
        <v>43</v>
      </c>
      <c r="AZ41" s="33">
        <f>(AT41+AU41+AV41)/(AW41+AX41+AY41)</f>
        <v>1.2534482758620691</v>
      </c>
      <c r="BA41" s="34">
        <f>AVERAGE(AT41:AV41)</f>
        <v>48.466666666666669</v>
      </c>
      <c r="BB41" s="41">
        <f>BA41-AS41</f>
        <v>34.700000000000003</v>
      </c>
      <c r="BC41" s="34">
        <f>AB41+AE41-AH41-AI41</f>
        <v>80</v>
      </c>
      <c r="BD41" s="28">
        <f>BC41/AS41</f>
        <v>5.8111380145278453</v>
      </c>
      <c r="BE41" s="35">
        <f>BC41/G41</f>
        <v>0.29833118119605867</v>
      </c>
      <c r="BF41" t="str">
        <f>A41</f>
        <v>白云山</v>
      </c>
    </row>
    <row r="42" spans="1:58" x14ac:dyDescent="0.2">
      <c r="A42" s="53" t="s">
        <v>72</v>
      </c>
      <c r="B42" s="2" t="s">
        <v>46</v>
      </c>
      <c r="C42" s="2">
        <v>5.5</v>
      </c>
      <c r="D42" s="22">
        <f t="shared" si="20"/>
        <v>5.0335999999999999</v>
      </c>
      <c r="E42" s="4">
        <v>118.96</v>
      </c>
      <c r="F42" s="4">
        <v>2.79</v>
      </c>
      <c r="G42" s="5">
        <f t="shared" si="0"/>
        <v>598.797056</v>
      </c>
      <c r="H42" s="51">
        <f>D42/F42</f>
        <v>1.8041577060931899</v>
      </c>
      <c r="I42" s="24">
        <v>0.32</v>
      </c>
      <c r="J42" s="66">
        <v>0.13</v>
      </c>
      <c r="K42" s="26">
        <f t="shared" ref="K42:K47" si="21">I42/D42</f>
        <v>6.3572790845518118E-2</v>
      </c>
      <c r="L42" s="27">
        <f t="shared" si="2"/>
        <v>0.68270000000000008</v>
      </c>
      <c r="M42" s="27">
        <f t="shared" si="16"/>
        <v>0.49596503026227307</v>
      </c>
      <c r="N42" s="26">
        <f t="shared" si="3"/>
        <v>0.24469534050179215</v>
      </c>
      <c r="O42" s="27">
        <f t="shared" si="17"/>
        <v>0.49596503026227307</v>
      </c>
      <c r="P42" s="28">
        <f t="shared" si="18"/>
        <v>10.149102644067797</v>
      </c>
      <c r="Q42" s="4">
        <v>315</v>
      </c>
      <c r="R42" s="4">
        <v>93</v>
      </c>
      <c r="S42" s="4">
        <v>74</v>
      </c>
      <c r="T42" s="4">
        <v>61</v>
      </c>
      <c r="U42" s="4">
        <v>59</v>
      </c>
      <c r="V42" s="29">
        <f t="shared" si="4"/>
        <v>0.96721311475409832</v>
      </c>
      <c r="W42" s="4">
        <v>59</v>
      </c>
      <c r="X42" s="4">
        <v>91</v>
      </c>
      <c r="Y42" s="4">
        <v>12</v>
      </c>
      <c r="Z42" s="2">
        <v>48</v>
      </c>
      <c r="AA42" s="4">
        <v>0.3</v>
      </c>
      <c r="AB42" s="4">
        <v>131</v>
      </c>
      <c r="AC42" s="4">
        <v>96</v>
      </c>
      <c r="AD42" s="4">
        <v>31</v>
      </c>
      <c r="AE42" s="4">
        <v>39</v>
      </c>
      <c r="AF42" s="4">
        <v>28</v>
      </c>
      <c r="AG42" s="4"/>
      <c r="AH42" s="4">
        <v>6</v>
      </c>
      <c r="AI42" s="4">
        <v>1</v>
      </c>
      <c r="AJ42" s="4">
        <v>463</v>
      </c>
      <c r="AK42" s="4">
        <v>350</v>
      </c>
      <c r="AL42" s="4">
        <v>195</v>
      </c>
      <c r="AM42" s="4">
        <v>102</v>
      </c>
      <c r="AN42" s="5">
        <f t="shared" ref="AN42:AN82" si="22">AJ42-AM42</f>
        <v>361</v>
      </c>
      <c r="AO42" s="30">
        <v>42</v>
      </c>
      <c r="AP42" s="4">
        <v>19</v>
      </c>
      <c r="AQ42" s="4">
        <v>27</v>
      </c>
      <c r="AR42" s="13">
        <v>17.600000000000001</v>
      </c>
      <c r="AS42" s="28">
        <f t="shared" si="6"/>
        <v>21.2</v>
      </c>
      <c r="AT42" s="32">
        <v>42</v>
      </c>
      <c r="AU42" s="32">
        <v>76</v>
      </c>
      <c r="AV42" s="32">
        <v>46</v>
      </c>
      <c r="AW42" s="32">
        <v>61</v>
      </c>
      <c r="AX42" s="32">
        <v>62</v>
      </c>
      <c r="AY42" s="32">
        <v>57</v>
      </c>
      <c r="AZ42" s="33">
        <f t="shared" si="11"/>
        <v>0.91111111111111109</v>
      </c>
      <c r="BA42" s="34">
        <f t="shared" si="7"/>
        <v>54.666666666666664</v>
      </c>
      <c r="BB42" s="41">
        <f t="shared" si="12"/>
        <v>33.466666666666669</v>
      </c>
      <c r="BC42" s="34">
        <f t="shared" si="13"/>
        <v>163</v>
      </c>
      <c r="BD42" s="28">
        <f t="shared" si="14"/>
        <v>7.6886792452830193</v>
      </c>
      <c r="BE42" s="35">
        <f t="shared" si="8"/>
        <v>0.27221242717666266</v>
      </c>
      <c r="BF42" t="str">
        <f t="shared" si="9"/>
        <v>石药集团</v>
      </c>
    </row>
    <row r="43" spans="1:58" x14ac:dyDescent="0.2">
      <c r="A43" s="1" t="s">
        <v>72</v>
      </c>
      <c r="B43" s="37" t="s">
        <v>47</v>
      </c>
      <c r="C43" s="67">
        <v>7.43</v>
      </c>
      <c r="D43" s="22">
        <f t="shared" si="20"/>
        <v>6.7999359999999998</v>
      </c>
      <c r="E43" s="4">
        <v>115.44</v>
      </c>
      <c r="F43" s="4">
        <v>2.77</v>
      </c>
      <c r="G43" s="5">
        <f t="shared" si="0"/>
        <v>784.98461183999996</v>
      </c>
      <c r="H43" s="51">
        <f>D43/F43</f>
        <v>2.4548505415162456</v>
      </c>
      <c r="I43" s="24">
        <v>0.25</v>
      </c>
      <c r="J43" s="66">
        <f>F43/F42-1</f>
        <v>-7.1684587813619638E-3</v>
      </c>
      <c r="K43" s="26">
        <f t="shared" si="21"/>
        <v>3.6765051906370888E-2</v>
      </c>
      <c r="L43" s="27">
        <f t="shared" si="2"/>
        <v>0.23014336917562736</v>
      </c>
      <c r="M43" s="27">
        <f t="shared" si="16"/>
        <v>0.37248787248787252</v>
      </c>
      <c r="N43" s="26">
        <f t="shared" si="3"/>
        <v>8.3084248799865479E-2</v>
      </c>
      <c r="O43" s="27">
        <f t="shared" si="17"/>
        <v>0.37248787248787252</v>
      </c>
      <c r="P43" s="28">
        <f t="shared" si="18"/>
        <v>18.255456089302324</v>
      </c>
      <c r="Q43" s="4">
        <v>290</v>
      </c>
      <c r="R43" s="4">
        <v>87</v>
      </c>
      <c r="S43" s="4">
        <v>57</v>
      </c>
      <c r="T43" s="4">
        <v>43</v>
      </c>
      <c r="U43" s="4">
        <v>43</v>
      </c>
      <c r="V43" s="29">
        <f t="shared" si="4"/>
        <v>1</v>
      </c>
      <c r="W43" s="4">
        <v>43</v>
      </c>
      <c r="X43" s="4">
        <v>87</v>
      </c>
      <c r="Y43" s="4">
        <v>11</v>
      </c>
      <c r="Z43" s="2">
        <v>52</v>
      </c>
      <c r="AA43" s="4">
        <v>0.4</v>
      </c>
      <c r="AB43" s="4">
        <v>83</v>
      </c>
      <c r="AC43" s="4">
        <v>92</v>
      </c>
      <c r="AD43" s="4">
        <v>31</v>
      </c>
      <c r="AE43" s="4">
        <v>39</v>
      </c>
      <c r="AF43" s="4">
        <v>26</v>
      </c>
      <c r="AG43" s="4"/>
      <c r="AH43" s="4">
        <v>4.5</v>
      </c>
      <c r="AI43" s="4">
        <v>0.6</v>
      </c>
      <c r="AJ43" s="4">
        <v>444</v>
      </c>
      <c r="AK43" s="4">
        <v>339</v>
      </c>
      <c r="AL43" s="4">
        <v>225</v>
      </c>
      <c r="AM43" s="4">
        <v>96</v>
      </c>
      <c r="AN43" s="5">
        <f t="shared" si="22"/>
        <v>348</v>
      </c>
      <c r="AO43" s="30">
        <v>42</v>
      </c>
      <c r="AP43" s="4">
        <v>26.8</v>
      </c>
      <c r="AQ43" s="4">
        <v>19</v>
      </c>
      <c r="AR43" s="13">
        <v>27</v>
      </c>
      <c r="AS43" s="28">
        <f t="shared" si="6"/>
        <v>24.266666666666666</v>
      </c>
      <c r="AT43" s="32">
        <v>38</v>
      </c>
      <c r="AU43" s="32">
        <v>42</v>
      </c>
      <c r="AV43" s="32">
        <v>76</v>
      </c>
      <c r="AW43" s="32">
        <v>43</v>
      </c>
      <c r="AX43" s="32">
        <v>61</v>
      </c>
      <c r="AY43" s="32">
        <v>62</v>
      </c>
      <c r="AZ43" s="33">
        <f t="shared" si="11"/>
        <v>0.93975903614457834</v>
      </c>
      <c r="BA43" s="34">
        <f t="shared" si="7"/>
        <v>52</v>
      </c>
      <c r="BB43" s="41">
        <f t="shared" si="12"/>
        <v>27.733333333333334</v>
      </c>
      <c r="BC43" s="34">
        <f t="shared" si="13"/>
        <v>116.9</v>
      </c>
      <c r="BD43" s="43">
        <f t="shared" si="14"/>
        <v>4.8173076923076925</v>
      </c>
      <c r="BE43" s="35">
        <f t="shared" si="8"/>
        <v>0.14892011669628402</v>
      </c>
      <c r="BF43" t="str">
        <f t="shared" si="9"/>
        <v>石药集团</v>
      </c>
    </row>
    <row r="44" spans="1:58" x14ac:dyDescent="0.2">
      <c r="A44" s="53" t="s">
        <v>73</v>
      </c>
      <c r="B44" s="2" t="s">
        <v>46</v>
      </c>
      <c r="C44" s="2">
        <v>19.14</v>
      </c>
      <c r="D44" s="22">
        <f t="shared" si="20"/>
        <v>17.516928</v>
      </c>
      <c r="E44" s="4">
        <v>25.84</v>
      </c>
      <c r="F44" s="4">
        <v>9.24</v>
      </c>
      <c r="G44" s="5">
        <f t="shared" si="0"/>
        <v>452.63741951999998</v>
      </c>
      <c r="H44" s="51">
        <f t="shared" ref="H44:H57" si="23">C44/F44</f>
        <v>2.0714285714285716</v>
      </c>
      <c r="I44" s="24">
        <f>0.3775+0.1854</f>
        <v>0.56289999999999996</v>
      </c>
      <c r="J44" s="66">
        <v>7.4999999999999997E-2</v>
      </c>
      <c r="K44" s="26">
        <f t="shared" si="21"/>
        <v>3.2134629999050056E-2</v>
      </c>
      <c r="L44" s="27">
        <f t="shared" si="2"/>
        <v>1.2559</v>
      </c>
      <c r="M44" s="27">
        <f t="shared" si="16"/>
        <v>1.2383900928792571</v>
      </c>
      <c r="N44" s="26">
        <f t="shared" si="3"/>
        <v>0.13591991341991341</v>
      </c>
      <c r="O44" s="27">
        <f t="shared" si="17"/>
        <v>1.2383900928792571</v>
      </c>
      <c r="P44" s="49">
        <f t="shared" si="18"/>
        <v>14.144919359999999</v>
      </c>
      <c r="Q44" s="4">
        <v>276</v>
      </c>
      <c r="R44" s="4">
        <v>143</v>
      </c>
      <c r="S44" s="4">
        <v>39</v>
      </c>
      <c r="T44" s="4">
        <v>32</v>
      </c>
      <c r="U44" s="4">
        <v>32</v>
      </c>
      <c r="V44" s="29">
        <f t="shared" si="4"/>
        <v>1</v>
      </c>
      <c r="W44" s="4">
        <v>32</v>
      </c>
      <c r="X44" s="4">
        <v>91</v>
      </c>
      <c r="Y44" s="4">
        <v>13.3</v>
      </c>
      <c r="Z44" s="2">
        <v>0</v>
      </c>
      <c r="AA44" s="4">
        <v>1.8</v>
      </c>
      <c r="AB44" s="4">
        <v>89</v>
      </c>
      <c r="AC44" s="4">
        <v>12</v>
      </c>
      <c r="AD44" s="4">
        <v>25</v>
      </c>
      <c r="AE44" s="4">
        <v>20</v>
      </c>
      <c r="AF44" s="4">
        <v>18</v>
      </c>
      <c r="AG44" s="4"/>
      <c r="AH44" s="4">
        <v>7.2</v>
      </c>
      <c r="AI44" s="4">
        <v>18.3</v>
      </c>
      <c r="AJ44" s="4">
        <v>342</v>
      </c>
      <c r="AK44" s="4">
        <v>244</v>
      </c>
      <c r="AL44" s="4">
        <v>206</v>
      </c>
      <c r="AM44" s="4">
        <v>73</v>
      </c>
      <c r="AN44" s="5">
        <f t="shared" si="22"/>
        <v>269</v>
      </c>
      <c r="AO44" s="30">
        <v>47</v>
      </c>
      <c r="AP44" s="4">
        <v>17.399999999999999</v>
      </c>
      <c r="AQ44" s="4">
        <v>18.2</v>
      </c>
      <c r="AR44" s="13">
        <v>11.2</v>
      </c>
      <c r="AS44" s="28">
        <f t="shared" si="6"/>
        <v>15.6</v>
      </c>
      <c r="AT44" s="32">
        <v>65</v>
      </c>
      <c r="AU44" s="32">
        <v>39</v>
      </c>
      <c r="AV44" s="32">
        <v>47</v>
      </c>
      <c r="AW44" s="32">
        <v>40</v>
      </c>
      <c r="AX44" s="32">
        <v>41</v>
      </c>
      <c r="AY44" s="32">
        <v>32</v>
      </c>
      <c r="AZ44" s="33">
        <f t="shared" si="11"/>
        <v>1.336283185840708</v>
      </c>
      <c r="BA44" s="34">
        <f t="shared" si="7"/>
        <v>50.333333333333336</v>
      </c>
      <c r="BB44" s="41">
        <f t="shared" si="12"/>
        <v>34.733333333333334</v>
      </c>
      <c r="BC44" s="34">
        <f t="shared" si="13"/>
        <v>83.5</v>
      </c>
      <c r="BD44" s="28">
        <f t="shared" si="14"/>
        <v>5.3525641025641031</v>
      </c>
      <c r="BE44" s="35">
        <f t="shared" si="8"/>
        <v>0.18447436380436177</v>
      </c>
      <c r="BF44" t="str">
        <f t="shared" si="9"/>
        <v>李宁</v>
      </c>
    </row>
    <row r="45" spans="1:58" x14ac:dyDescent="0.2">
      <c r="A45" s="1" t="s">
        <v>73</v>
      </c>
      <c r="B45" s="37" t="s">
        <v>47</v>
      </c>
      <c r="C45" s="67">
        <v>17.5</v>
      </c>
      <c r="D45" s="22">
        <f t="shared" si="20"/>
        <v>16.016000000000002</v>
      </c>
      <c r="E45" s="4">
        <v>25.85</v>
      </c>
      <c r="F45" s="4">
        <v>9.3000000000000007</v>
      </c>
      <c r="G45" s="5">
        <f t="shared" si="0"/>
        <v>414.01360000000005</v>
      </c>
      <c r="H45" s="51">
        <f t="shared" si="23"/>
        <v>1.8817204301075268</v>
      </c>
      <c r="I45" s="24">
        <v>0.58479999999999999</v>
      </c>
      <c r="J45" s="66">
        <f>F45/F44-1</f>
        <v>6.4935064935065512E-3</v>
      </c>
      <c r="K45" s="26">
        <f t="shared" si="21"/>
        <v>3.6513486513486508E-2</v>
      </c>
      <c r="L45" s="27">
        <f t="shared" si="2"/>
        <v>0.64518961038961087</v>
      </c>
      <c r="M45" s="27">
        <f t="shared" si="16"/>
        <v>1.2379110251450676</v>
      </c>
      <c r="N45" s="26">
        <f t="shared" si="3"/>
        <v>6.9375226923614072E-2</v>
      </c>
      <c r="O45" s="27">
        <f t="shared" si="17"/>
        <v>1.1605415860735009</v>
      </c>
      <c r="P45" s="49">
        <f t="shared" si="18"/>
        <v>12.937925000000002</v>
      </c>
      <c r="Q45" s="4">
        <v>287</v>
      </c>
      <c r="R45" s="4">
        <v>145</v>
      </c>
      <c r="S45" s="4">
        <v>39</v>
      </c>
      <c r="T45" s="4">
        <v>30</v>
      </c>
      <c r="U45" s="4">
        <v>30</v>
      </c>
      <c r="V45" s="29">
        <f t="shared" si="4"/>
        <v>1</v>
      </c>
      <c r="W45" s="4">
        <v>32</v>
      </c>
      <c r="X45" s="4">
        <v>92</v>
      </c>
      <c r="Y45" s="4">
        <v>15.4</v>
      </c>
      <c r="Z45" s="2">
        <v>0</v>
      </c>
      <c r="AA45" s="4">
        <v>2.54</v>
      </c>
      <c r="AB45" s="4">
        <v>158</v>
      </c>
      <c r="AC45" s="4">
        <v>10</v>
      </c>
      <c r="AD45" s="4">
        <v>26</v>
      </c>
      <c r="AE45" s="4">
        <v>22</v>
      </c>
      <c r="AF45" s="4">
        <v>16</v>
      </c>
      <c r="AG45" s="4"/>
      <c r="AH45" s="4">
        <v>5.5</v>
      </c>
      <c r="AI45" s="4">
        <v>13.85</v>
      </c>
      <c r="AJ45" s="4">
        <v>357</v>
      </c>
      <c r="AK45" s="4">
        <v>261</v>
      </c>
      <c r="AL45" s="4">
        <v>152</v>
      </c>
      <c r="AM45" s="4">
        <v>76</v>
      </c>
      <c r="AN45" s="5">
        <f t="shared" si="22"/>
        <v>281</v>
      </c>
      <c r="AO45" s="30">
        <v>47</v>
      </c>
      <c r="AP45" s="4">
        <v>17.399999999999999</v>
      </c>
      <c r="AQ45" s="4">
        <v>18.2</v>
      </c>
      <c r="AR45" s="13">
        <v>11.2</v>
      </c>
      <c r="AS45" s="28">
        <f t="shared" si="6"/>
        <v>15.6</v>
      </c>
      <c r="AT45" s="32">
        <v>65</v>
      </c>
      <c r="AU45" s="32">
        <v>39</v>
      </c>
      <c r="AV45" s="32">
        <v>47</v>
      </c>
      <c r="AW45" s="32">
        <v>40</v>
      </c>
      <c r="AX45" s="32">
        <v>41</v>
      </c>
      <c r="AY45" s="32">
        <v>32</v>
      </c>
      <c r="AZ45" s="33">
        <f t="shared" si="11"/>
        <v>1.336283185840708</v>
      </c>
      <c r="BA45" s="34">
        <f t="shared" si="7"/>
        <v>50.333333333333336</v>
      </c>
      <c r="BB45" s="41">
        <f t="shared" si="12"/>
        <v>34.733333333333334</v>
      </c>
      <c r="BC45" s="34">
        <f t="shared" si="13"/>
        <v>160.65</v>
      </c>
      <c r="BD45" s="43">
        <f t="shared" si="14"/>
        <v>10.298076923076923</v>
      </c>
      <c r="BE45" s="44">
        <f t="shared" si="8"/>
        <v>0.38803073135761718</v>
      </c>
      <c r="BF45" t="str">
        <f t="shared" si="9"/>
        <v>李宁</v>
      </c>
    </row>
    <row r="46" spans="1:58" x14ac:dyDescent="0.2">
      <c r="A46" s="53" t="s">
        <v>74</v>
      </c>
      <c r="B46" s="2" t="s">
        <v>46</v>
      </c>
      <c r="C46" s="2">
        <v>77</v>
      </c>
      <c r="D46" s="22">
        <f t="shared" si="20"/>
        <v>70.470399999999998</v>
      </c>
      <c r="E46" s="4">
        <v>28.07</v>
      </c>
      <c r="F46" s="4">
        <v>18.170000000000002</v>
      </c>
      <c r="G46" s="5">
        <f t="shared" si="0"/>
        <v>1978.1041279999999</v>
      </c>
      <c r="H46" s="51">
        <f t="shared" si="23"/>
        <v>4.2377545404512933</v>
      </c>
      <c r="I46" s="24">
        <v>2.33</v>
      </c>
      <c r="J46" s="66">
        <f>F46/12.68-1</f>
        <v>0.43296529968454278</v>
      </c>
      <c r="K46" s="26">
        <f t="shared" si="21"/>
        <v>3.3063527381709201E-2</v>
      </c>
      <c r="L46" s="27">
        <f t="shared" si="2"/>
        <v>10.196979495268142</v>
      </c>
      <c r="M46" s="27">
        <f t="shared" si="16"/>
        <v>3.6337727110794442</v>
      </c>
      <c r="N46" s="26">
        <f t="shared" si="3"/>
        <v>0.56119865136313374</v>
      </c>
      <c r="O46" s="27">
        <f t="shared" si="17"/>
        <v>3.6337727110794442</v>
      </c>
      <c r="P46" s="49">
        <f t="shared" si="18"/>
        <v>19.393177725490194</v>
      </c>
      <c r="Q46" s="4">
        <v>624</v>
      </c>
      <c r="R46" s="4">
        <v>233</v>
      </c>
      <c r="S46" s="4">
        <v>163</v>
      </c>
      <c r="T46" s="4">
        <v>113</v>
      </c>
      <c r="U46" s="4">
        <v>102</v>
      </c>
      <c r="V46" s="29">
        <f t="shared" si="4"/>
        <v>0.90265486725663713</v>
      </c>
      <c r="W46" s="4">
        <v>102</v>
      </c>
      <c r="X46" s="4">
        <v>217</v>
      </c>
      <c r="Y46" s="4">
        <v>37</v>
      </c>
      <c r="Z46" s="2">
        <v>0</v>
      </c>
      <c r="AA46" s="4">
        <v>5.5</v>
      </c>
      <c r="AB46" s="4">
        <v>380</v>
      </c>
      <c r="AC46" s="4">
        <v>37</v>
      </c>
      <c r="AD46" s="4">
        <v>72</v>
      </c>
      <c r="AE46" s="4">
        <v>112</v>
      </c>
      <c r="AF46" s="4">
        <v>32</v>
      </c>
      <c r="AG46" s="4"/>
      <c r="AH46" s="4">
        <v>67</v>
      </c>
      <c r="AI46" s="4">
        <v>148</v>
      </c>
      <c r="AJ46" s="4">
        <v>922</v>
      </c>
      <c r="AK46" s="4">
        <v>560</v>
      </c>
      <c r="AL46" s="4">
        <v>401</v>
      </c>
      <c r="AM46" s="4">
        <v>206</v>
      </c>
      <c r="AN46" s="5">
        <f>AJ46-AM46</f>
        <v>716</v>
      </c>
      <c r="AO46" s="30">
        <v>196</v>
      </c>
      <c r="AP46" s="4">
        <v>12</v>
      </c>
      <c r="AQ46" s="4">
        <v>16</v>
      </c>
      <c r="AR46" s="13">
        <v>14</v>
      </c>
      <c r="AS46" s="28">
        <f>AVERAGE(AP46:AR46)</f>
        <v>14</v>
      </c>
      <c r="AT46" s="32">
        <v>118</v>
      </c>
      <c r="AU46" s="32">
        <v>75</v>
      </c>
      <c r="AV46" s="32">
        <v>75</v>
      </c>
      <c r="AW46" s="32">
        <v>113</v>
      </c>
      <c r="AX46" s="32">
        <v>82</v>
      </c>
      <c r="AY46" s="32">
        <v>82</v>
      </c>
      <c r="AZ46" s="33">
        <f t="shared" si="11"/>
        <v>0.96750902527075811</v>
      </c>
      <c r="BA46" s="34">
        <f>AVERAGE(AT46:AV46)</f>
        <v>89.333333333333329</v>
      </c>
      <c r="BB46" s="41">
        <f t="shared" si="12"/>
        <v>75.333333333333329</v>
      </c>
      <c r="BC46" s="34">
        <f t="shared" si="13"/>
        <v>277</v>
      </c>
      <c r="BD46" s="28">
        <f t="shared" si="14"/>
        <v>19.785714285714285</v>
      </c>
      <c r="BE46" s="35">
        <f t="shared" si="8"/>
        <v>0.14003307312242766</v>
      </c>
      <c r="BF46" t="str">
        <f t="shared" si="9"/>
        <v>安踏</v>
      </c>
    </row>
    <row r="47" spans="1:58" x14ac:dyDescent="0.2">
      <c r="A47" s="1" t="s">
        <v>74</v>
      </c>
      <c r="B47" s="37" t="s">
        <v>47</v>
      </c>
      <c r="C47" s="2">
        <v>81</v>
      </c>
      <c r="D47" s="22">
        <f t="shared" si="20"/>
        <v>74.131200000000007</v>
      </c>
      <c r="E47" s="4">
        <v>28.07</v>
      </c>
      <c r="F47" s="4">
        <v>21.86</v>
      </c>
      <c r="G47" s="5">
        <f t="shared" si="0"/>
        <v>2080.8627840000004</v>
      </c>
      <c r="H47" s="51">
        <f t="shared" si="23"/>
        <v>3.7053979871912168</v>
      </c>
      <c r="I47" s="24">
        <v>2.36</v>
      </c>
      <c r="J47" s="66">
        <f>F47/F46-1</f>
        <v>0.20308200330214632</v>
      </c>
      <c r="K47" s="26">
        <f t="shared" si="21"/>
        <v>3.1835448502115164E-2</v>
      </c>
      <c r="L47" s="27">
        <f t="shared" si="2"/>
        <v>6.799372592184918</v>
      </c>
      <c r="M47" s="27">
        <f t="shared" si="16"/>
        <v>5.5575347345920916</v>
      </c>
      <c r="N47" s="26">
        <f t="shared" si="3"/>
        <v>0.31104174712648297</v>
      </c>
      <c r="O47" s="27">
        <f t="shared" si="17"/>
        <v>5.5575347345920916</v>
      </c>
      <c r="P47" s="49">
        <f t="shared" si="18"/>
        <v>13.338864000000003</v>
      </c>
      <c r="Q47" s="4">
        <v>708</v>
      </c>
      <c r="R47" s="4">
        <v>268</v>
      </c>
      <c r="S47" s="4">
        <v>217</v>
      </c>
      <c r="T47" s="4">
        <v>170</v>
      </c>
      <c r="U47" s="4">
        <v>156</v>
      </c>
      <c r="V47" s="29">
        <f t="shared" si="4"/>
        <v>0.91764705882352937</v>
      </c>
      <c r="W47" s="4">
        <v>156</v>
      </c>
      <c r="X47" s="4">
        <v>256</v>
      </c>
      <c r="Y47" s="4">
        <v>42</v>
      </c>
      <c r="Z47" s="2">
        <v>0</v>
      </c>
      <c r="AA47" s="4">
        <v>6.3</v>
      </c>
      <c r="AB47" s="4">
        <v>340</v>
      </c>
      <c r="AC47" s="4">
        <v>45</v>
      </c>
      <c r="AD47" s="4">
        <v>108</v>
      </c>
      <c r="AE47" s="4">
        <v>178</v>
      </c>
      <c r="AF47" s="4">
        <v>43</v>
      </c>
      <c r="AG47" s="4"/>
      <c r="AH47" s="4">
        <v>118</v>
      </c>
      <c r="AI47" s="4">
        <v>164</v>
      </c>
      <c r="AJ47" s="4">
        <v>1126</v>
      </c>
      <c r="AK47" s="4">
        <v>667</v>
      </c>
      <c r="AL47" s="4">
        <v>601</v>
      </c>
      <c r="AM47" s="4">
        <v>286</v>
      </c>
      <c r="AN47" s="5">
        <f>AJ47-AM47</f>
        <v>840</v>
      </c>
      <c r="AO47" s="30">
        <v>167</v>
      </c>
      <c r="AP47" s="4">
        <v>33</v>
      </c>
      <c r="AQ47" s="4">
        <v>12</v>
      </c>
      <c r="AR47" s="13">
        <v>16</v>
      </c>
      <c r="AS47" s="28">
        <f>AVERAGE(AP47:AR47)</f>
        <v>20.333333333333332</v>
      </c>
      <c r="AT47" s="32">
        <v>121</v>
      </c>
      <c r="AU47" s="32">
        <v>118</v>
      </c>
      <c r="AV47" s="32">
        <v>75</v>
      </c>
      <c r="AW47" s="32">
        <v>170</v>
      </c>
      <c r="AX47" s="32">
        <v>113</v>
      </c>
      <c r="AY47" s="32">
        <v>82</v>
      </c>
      <c r="AZ47" s="33">
        <f t="shared" si="11"/>
        <v>0.86027397260273974</v>
      </c>
      <c r="BA47" s="40">
        <v>200</v>
      </c>
      <c r="BB47" s="70">
        <v>160</v>
      </c>
      <c r="BC47" s="34">
        <f t="shared" si="13"/>
        <v>236</v>
      </c>
      <c r="BD47" s="43">
        <f t="shared" si="14"/>
        <v>11.606557377049182</v>
      </c>
      <c r="BE47" s="35">
        <f t="shared" si="8"/>
        <v>0.11341449412937357</v>
      </c>
      <c r="BF47" t="str">
        <f t="shared" si="9"/>
        <v>安踏</v>
      </c>
    </row>
    <row r="48" spans="1:58" x14ac:dyDescent="0.2">
      <c r="A48" s="53" t="s">
        <v>75</v>
      </c>
      <c r="B48" s="2" t="s">
        <v>46</v>
      </c>
      <c r="C48" s="2">
        <v>4.38</v>
      </c>
      <c r="D48" s="22">
        <f t="shared" si="20"/>
        <v>4.0085759999999997</v>
      </c>
      <c r="E48" s="4">
        <v>20.68</v>
      </c>
      <c r="F48" s="4">
        <v>4.3899999999999997</v>
      </c>
      <c r="G48" s="5">
        <f t="shared" si="0"/>
        <v>82.897351679999986</v>
      </c>
      <c r="H48" s="51">
        <f t="shared" si="23"/>
        <v>0.99772209567198178</v>
      </c>
      <c r="I48" s="24">
        <f>0.165+0.139</f>
        <v>0.30400000000000005</v>
      </c>
      <c r="J48" s="66">
        <v>0.1</v>
      </c>
      <c r="K48" s="26">
        <f t="shared" ref="K48:K57" si="24">I48/C48</f>
        <v>6.9406392694063943E-2</v>
      </c>
      <c r="L48" s="27">
        <f t="shared" si="2"/>
        <v>0.7430000000000001</v>
      </c>
      <c r="M48" s="27">
        <f t="shared" si="16"/>
        <v>0.46470019342359764</v>
      </c>
      <c r="N48" s="26">
        <f t="shared" si="3"/>
        <v>0.16924829157175403</v>
      </c>
      <c r="O48" s="27">
        <f t="shared" si="17"/>
        <v>0.46470019342359764</v>
      </c>
      <c r="P48" s="49">
        <f t="shared" si="18"/>
        <v>8.6261552216441189</v>
      </c>
      <c r="Q48" s="4">
        <v>84</v>
      </c>
      <c r="R48" s="4">
        <v>50</v>
      </c>
      <c r="S48" s="4">
        <v>13.65</v>
      </c>
      <c r="T48" s="4">
        <v>10.4</v>
      </c>
      <c r="U48" s="4">
        <v>9.61</v>
      </c>
      <c r="V48" s="29">
        <f t="shared" si="4"/>
        <v>0.92403846153846148</v>
      </c>
      <c r="W48" s="4">
        <v>9.61</v>
      </c>
      <c r="X48" s="4">
        <v>18.600000000000001</v>
      </c>
      <c r="Y48" s="4">
        <v>6.44</v>
      </c>
      <c r="Z48" s="2">
        <v>0</v>
      </c>
      <c r="AA48" s="4">
        <v>0.2</v>
      </c>
      <c r="AB48" s="4">
        <v>52</v>
      </c>
      <c r="AC48" s="4">
        <v>38.299999999999997</v>
      </c>
      <c r="AD48" s="4">
        <v>13.5</v>
      </c>
      <c r="AE48" s="4">
        <v>0.2</v>
      </c>
      <c r="AF48" s="4">
        <v>15</v>
      </c>
      <c r="AG48" s="4"/>
      <c r="AH48" s="4">
        <v>0.5</v>
      </c>
      <c r="AI48" s="4">
        <v>2.46</v>
      </c>
      <c r="AJ48" s="4">
        <v>131</v>
      </c>
      <c r="AK48" s="4">
        <v>97</v>
      </c>
      <c r="AL48" s="4">
        <v>14.5</v>
      </c>
      <c r="AM48" s="4">
        <v>31</v>
      </c>
      <c r="AN48" s="5">
        <f t="shared" si="22"/>
        <v>100</v>
      </c>
      <c r="AO48" s="30">
        <v>4.08</v>
      </c>
      <c r="AP48" s="4">
        <v>0.6</v>
      </c>
      <c r="AQ48" s="4">
        <v>0.3</v>
      </c>
      <c r="AR48" s="13">
        <v>0.1</v>
      </c>
      <c r="AS48" s="28">
        <f t="shared" si="6"/>
        <v>0.33333333333333331</v>
      </c>
      <c r="AT48" s="32">
        <v>3.72</v>
      </c>
      <c r="AU48" s="32">
        <v>3.8</v>
      </c>
      <c r="AV48" s="32">
        <v>4.08</v>
      </c>
      <c r="AW48" s="32">
        <v>6</v>
      </c>
      <c r="AX48" s="32">
        <v>7.47</v>
      </c>
      <c r="AY48" s="32">
        <v>9.61</v>
      </c>
      <c r="AZ48" s="33">
        <f t="shared" si="11"/>
        <v>0.50259965337954937</v>
      </c>
      <c r="BA48" s="34">
        <f t="shared" si="7"/>
        <v>3.8666666666666667</v>
      </c>
      <c r="BB48" s="41">
        <f t="shared" si="12"/>
        <v>3.5333333333333332</v>
      </c>
      <c r="BC48" s="34">
        <f t="shared" si="13"/>
        <v>49.24</v>
      </c>
      <c r="BD48" s="28">
        <f t="shared" si="14"/>
        <v>147.72000000000003</v>
      </c>
      <c r="BE48" s="35">
        <f t="shared" si="8"/>
        <v>0.59398761241584708</v>
      </c>
      <c r="BF48" t="str">
        <f t="shared" si="9"/>
        <v>361度</v>
      </c>
    </row>
    <row r="49" spans="1:58" x14ac:dyDescent="0.2">
      <c r="A49" s="1" t="s">
        <v>75</v>
      </c>
      <c r="B49" s="37" t="s">
        <v>47</v>
      </c>
      <c r="C49" s="2">
        <v>6.05</v>
      </c>
      <c r="D49" s="22">
        <f t="shared" si="20"/>
        <v>5.5369599999999997</v>
      </c>
      <c r="E49" s="4">
        <v>20.68</v>
      </c>
      <c r="F49" s="4">
        <v>4.53</v>
      </c>
      <c r="G49" s="5">
        <f t="shared" si="0"/>
        <v>114.50433279999999</v>
      </c>
      <c r="H49" s="51">
        <f t="shared" si="23"/>
        <v>1.3355408388520971</v>
      </c>
      <c r="I49" s="24">
        <v>0.26500000000000001</v>
      </c>
      <c r="J49" s="66">
        <f>F49/F48-1</f>
        <v>3.1890660592255315E-2</v>
      </c>
      <c r="K49" s="26">
        <f t="shared" si="24"/>
        <v>4.3801652892561986E-2</v>
      </c>
      <c r="L49" s="27">
        <f t="shared" si="2"/>
        <v>0.40946469248291661</v>
      </c>
      <c r="M49" s="27">
        <f t="shared" si="16"/>
        <v>0.55560928433268864</v>
      </c>
      <c r="N49" s="39">
        <f t="shared" si="3"/>
        <v>9.0389556839495941E-2</v>
      </c>
      <c r="O49" s="27">
        <f t="shared" si="17"/>
        <v>0.55560928433268864</v>
      </c>
      <c r="P49" s="49">
        <f t="shared" si="18"/>
        <v>9.9655642123585721</v>
      </c>
      <c r="Q49" s="4">
        <v>101</v>
      </c>
      <c r="R49" s="4">
        <v>59</v>
      </c>
      <c r="S49" s="4">
        <v>15.7</v>
      </c>
      <c r="T49" s="4">
        <v>11.9</v>
      </c>
      <c r="U49" s="4">
        <v>11.49</v>
      </c>
      <c r="V49" s="29">
        <f t="shared" si="4"/>
        <v>0.96554621848739497</v>
      </c>
      <c r="W49" s="4">
        <v>11.49</v>
      </c>
      <c r="X49" s="4">
        <v>22</v>
      </c>
      <c r="Y49" s="4">
        <v>7</v>
      </c>
      <c r="Z49" s="2">
        <v>0</v>
      </c>
      <c r="AA49" s="4">
        <v>0.1</v>
      </c>
      <c r="AB49" s="4">
        <v>43</v>
      </c>
      <c r="AC49" s="4">
        <v>44</v>
      </c>
      <c r="AD49" s="4">
        <v>21</v>
      </c>
      <c r="AE49" s="4">
        <v>0.2</v>
      </c>
      <c r="AF49" s="4">
        <v>13.3</v>
      </c>
      <c r="AG49" s="4"/>
      <c r="AH49" s="4">
        <v>0.5</v>
      </c>
      <c r="AI49" s="4">
        <v>2.2000000000000002</v>
      </c>
      <c r="AJ49" s="4">
        <v>134</v>
      </c>
      <c r="AK49" s="4">
        <v>98</v>
      </c>
      <c r="AL49" s="4">
        <v>13.6</v>
      </c>
      <c r="AM49" s="4">
        <v>34</v>
      </c>
      <c r="AN49" s="5">
        <f t="shared" si="22"/>
        <v>100</v>
      </c>
      <c r="AO49" s="30">
        <v>5</v>
      </c>
      <c r="AP49" s="4">
        <v>2.69</v>
      </c>
      <c r="AQ49" s="4">
        <v>0.6</v>
      </c>
      <c r="AR49" s="13">
        <v>0.3</v>
      </c>
      <c r="AS49" s="28">
        <f t="shared" si="6"/>
        <v>1.1966666666666665</v>
      </c>
      <c r="AT49" s="32">
        <v>5.24</v>
      </c>
      <c r="AU49" s="32">
        <v>3.8</v>
      </c>
      <c r="AV49" s="32">
        <v>5</v>
      </c>
      <c r="AW49" s="32">
        <v>11.5</v>
      </c>
      <c r="AX49" s="32">
        <v>9.6</v>
      </c>
      <c r="AY49" s="32">
        <v>7.5</v>
      </c>
      <c r="AZ49" s="33">
        <f t="shared" si="11"/>
        <v>0.49090909090909085</v>
      </c>
      <c r="BA49" s="34">
        <f t="shared" si="7"/>
        <v>4.68</v>
      </c>
      <c r="BB49" s="41">
        <f t="shared" si="12"/>
        <v>3.4833333333333334</v>
      </c>
      <c r="BC49" s="42">
        <f t="shared" si="13"/>
        <v>40.5</v>
      </c>
      <c r="BD49" s="43">
        <f t="shared" si="14"/>
        <v>33.844011142061284</v>
      </c>
      <c r="BE49" s="44">
        <f t="shared" si="8"/>
        <v>0.35369840607463898</v>
      </c>
      <c r="BF49" t="str">
        <f t="shared" si="9"/>
        <v>361度</v>
      </c>
    </row>
    <row r="50" spans="1:58" x14ac:dyDescent="0.2">
      <c r="A50" s="53" t="s">
        <v>76</v>
      </c>
      <c r="B50" s="2" t="s">
        <v>77</v>
      </c>
      <c r="C50" s="2">
        <v>5.47</v>
      </c>
      <c r="D50" s="22">
        <f t="shared" si="20"/>
        <v>5.0061439999999999</v>
      </c>
      <c r="E50" s="4">
        <v>27.75</v>
      </c>
      <c r="F50" s="4">
        <v>3.36</v>
      </c>
      <c r="G50" s="5">
        <f t="shared" si="0"/>
        <v>138.92049599999999</v>
      </c>
      <c r="H50" s="51">
        <f t="shared" si="23"/>
        <v>1.6279761904761905</v>
      </c>
      <c r="I50" s="24">
        <f>0.095+0.16</f>
        <v>0.255</v>
      </c>
      <c r="J50" s="66">
        <v>0</v>
      </c>
      <c r="K50" s="26">
        <f t="shared" si="24"/>
        <v>4.6617915904936018E-2</v>
      </c>
      <c r="L50" s="27">
        <f t="shared" si="2"/>
        <v>0.255</v>
      </c>
      <c r="M50" s="27">
        <f t="shared" si="16"/>
        <v>0.45189189189189194</v>
      </c>
      <c r="N50" s="26">
        <f t="shared" si="3"/>
        <v>7.5892857142857151E-2</v>
      </c>
      <c r="O50" s="27">
        <f t="shared" si="17"/>
        <v>0.37117117117117121</v>
      </c>
      <c r="P50" s="49">
        <f t="shared" si="18"/>
        <v>11.078189473684208</v>
      </c>
      <c r="Q50" s="4">
        <v>143</v>
      </c>
      <c r="R50" s="4">
        <v>83</v>
      </c>
      <c r="S50" s="4">
        <v>14</v>
      </c>
      <c r="T50" s="4">
        <v>10.33</v>
      </c>
      <c r="U50" s="4">
        <v>10.3</v>
      </c>
      <c r="V50" s="29">
        <f t="shared" si="4"/>
        <v>0.99709583736689256</v>
      </c>
      <c r="W50" s="4">
        <f>U50+2.24</f>
        <v>12.540000000000001</v>
      </c>
      <c r="X50" s="4">
        <v>33.69</v>
      </c>
      <c r="Y50" s="4">
        <v>15.4</v>
      </c>
      <c r="Z50" s="2">
        <v>0</v>
      </c>
      <c r="AA50" s="4">
        <v>1.8</v>
      </c>
      <c r="AB50" s="4">
        <v>41.6</v>
      </c>
      <c r="AC50" s="4">
        <v>50</v>
      </c>
      <c r="AD50" s="4">
        <v>18</v>
      </c>
      <c r="AE50" s="4">
        <v>7.5</v>
      </c>
      <c r="AF50" s="4">
        <v>25</v>
      </c>
      <c r="AG50" s="4"/>
      <c r="AH50" s="4">
        <v>20</v>
      </c>
      <c r="AI50" s="4">
        <v>22.4</v>
      </c>
      <c r="AJ50" s="4">
        <v>173</v>
      </c>
      <c r="AK50" s="4">
        <v>89</v>
      </c>
      <c r="AL50" s="4">
        <v>52.8</v>
      </c>
      <c r="AM50" s="4">
        <v>59</v>
      </c>
      <c r="AN50" s="5">
        <f t="shared" si="22"/>
        <v>114</v>
      </c>
      <c r="AO50" s="30">
        <v>12.55</v>
      </c>
      <c r="AP50" s="4">
        <v>6.61</v>
      </c>
      <c r="AQ50" s="4">
        <v>3.89</v>
      </c>
      <c r="AR50" s="13">
        <v>3.65</v>
      </c>
      <c r="AS50" s="28">
        <f t="shared" si="6"/>
        <v>4.7166666666666668</v>
      </c>
      <c r="AT50" s="32">
        <v>7</v>
      </c>
      <c r="AU50" s="32">
        <v>12.55</v>
      </c>
      <c r="AV50" s="32">
        <v>5.72</v>
      </c>
      <c r="AW50" s="32">
        <v>10.3</v>
      </c>
      <c r="AX50" s="32">
        <v>9.1199999999999992</v>
      </c>
      <c r="AY50" s="32">
        <v>8.9</v>
      </c>
      <c r="AZ50" s="33">
        <f t="shared" si="11"/>
        <v>0.89230225988700562</v>
      </c>
      <c r="BA50" s="34">
        <f t="shared" si="7"/>
        <v>8.4233333333333338</v>
      </c>
      <c r="BB50" s="41">
        <f t="shared" si="12"/>
        <v>3.706666666666667</v>
      </c>
      <c r="BC50" s="34">
        <f t="shared" si="13"/>
        <v>6.7000000000000028</v>
      </c>
      <c r="BD50" s="28">
        <f t="shared" si="14"/>
        <v>1.4204946996466437</v>
      </c>
      <c r="BE50" s="35">
        <f t="shared" si="8"/>
        <v>4.8229024463028146E-2</v>
      </c>
      <c r="BF50" t="str">
        <f t="shared" si="9"/>
        <v>特步国际</v>
      </c>
    </row>
    <row r="51" spans="1:58" x14ac:dyDescent="0.2">
      <c r="A51" s="65" t="s">
        <v>76</v>
      </c>
      <c r="B51" s="37" t="s">
        <v>47</v>
      </c>
      <c r="C51" s="2">
        <v>5.94</v>
      </c>
      <c r="D51" s="22">
        <f t="shared" si="20"/>
        <v>5.4362880000000002</v>
      </c>
      <c r="E51" s="4">
        <v>27.75</v>
      </c>
      <c r="F51" s="4">
        <v>3.24</v>
      </c>
      <c r="G51" s="5">
        <f t="shared" si="0"/>
        <v>150.85699200000002</v>
      </c>
      <c r="H51" s="51">
        <f t="shared" si="23"/>
        <v>1.8333333333333333</v>
      </c>
      <c r="I51" s="24">
        <f>0.095+0.156</f>
        <v>0.251</v>
      </c>
      <c r="J51" s="66">
        <f>F51/F50-1</f>
        <v>-3.5714285714285587E-2</v>
      </c>
      <c r="K51" s="26">
        <f t="shared" si="24"/>
        <v>4.2255892255892255E-2</v>
      </c>
      <c r="L51" s="27">
        <f t="shared" si="2"/>
        <v>0.13528571428571468</v>
      </c>
      <c r="M51" s="27">
        <f t="shared" si="16"/>
        <v>0.4702702702702703</v>
      </c>
      <c r="N51" s="26">
        <f t="shared" si="3"/>
        <v>4.175485008818354E-2</v>
      </c>
      <c r="O51" s="27">
        <f t="shared" si="17"/>
        <v>0.44612612612612618</v>
      </c>
      <c r="P51" s="49">
        <f t="shared" si="18"/>
        <v>11.55992275862069</v>
      </c>
      <c r="Q51" s="4">
        <v>152</v>
      </c>
      <c r="R51" s="4">
        <v>85</v>
      </c>
      <c r="S51" s="4">
        <v>17</v>
      </c>
      <c r="T51" s="4">
        <v>12.38</v>
      </c>
      <c r="U51" s="4">
        <v>12.38</v>
      </c>
      <c r="V51" s="29">
        <f t="shared" si="4"/>
        <v>1</v>
      </c>
      <c r="W51" s="4">
        <f>U51+0.67</f>
        <v>13.05</v>
      </c>
      <c r="X51" s="4">
        <v>36.619999999999997</v>
      </c>
      <c r="Y51" s="4">
        <v>16</v>
      </c>
      <c r="Z51" s="2">
        <v>0</v>
      </c>
      <c r="AA51" s="4">
        <v>1.4</v>
      </c>
      <c r="AB51" s="4">
        <v>36</v>
      </c>
      <c r="AC51" s="4">
        <v>50</v>
      </c>
      <c r="AD51" s="4">
        <v>16</v>
      </c>
      <c r="AE51" s="4">
        <v>18</v>
      </c>
      <c r="AF51" s="4">
        <v>22</v>
      </c>
      <c r="AG51" s="4"/>
      <c r="AH51" s="4">
        <v>12.4</v>
      </c>
      <c r="AI51" s="4">
        <v>18</v>
      </c>
      <c r="AJ51" s="4">
        <v>160</v>
      </c>
      <c r="AK51" s="4">
        <v>87</v>
      </c>
      <c r="AL51" s="4">
        <v>47.4</v>
      </c>
      <c r="AM51" s="4">
        <v>53</v>
      </c>
      <c r="AN51" s="5">
        <f t="shared" si="22"/>
        <v>107</v>
      </c>
      <c r="AO51" s="30">
        <v>12.28</v>
      </c>
      <c r="AP51" s="4">
        <v>3.17</v>
      </c>
      <c r="AQ51" s="4">
        <v>3.89</v>
      </c>
      <c r="AR51" s="13">
        <v>3.65</v>
      </c>
      <c r="AS51" s="28">
        <f t="shared" si="6"/>
        <v>3.5700000000000003</v>
      </c>
      <c r="AT51" s="32">
        <v>12.28</v>
      </c>
      <c r="AU51" s="32">
        <v>12.55</v>
      </c>
      <c r="AV51" s="32">
        <v>5.72</v>
      </c>
      <c r="AW51" s="32">
        <v>12.38</v>
      </c>
      <c r="AX51" s="32">
        <v>10.3</v>
      </c>
      <c r="AY51" s="32">
        <v>9.1199999999999992</v>
      </c>
      <c r="AZ51" s="33">
        <f t="shared" si="11"/>
        <v>0.96069182389937102</v>
      </c>
      <c r="BA51" s="34">
        <f t="shared" si="7"/>
        <v>10.183333333333332</v>
      </c>
      <c r="BB51" s="41">
        <f t="shared" si="12"/>
        <v>6.6133333333333315</v>
      </c>
      <c r="BC51" s="34">
        <f t="shared" si="13"/>
        <v>23.6</v>
      </c>
      <c r="BD51" s="28">
        <f t="shared" si="14"/>
        <v>6.6106442577030808</v>
      </c>
      <c r="BE51" s="35">
        <f t="shared" si="8"/>
        <v>0.1564395503789443</v>
      </c>
      <c r="BF51" t="str">
        <f t="shared" si="9"/>
        <v>特步国际</v>
      </c>
    </row>
    <row r="52" spans="1:58" x14ac:dyDescent="0.2">
      <c r="A52" s="53" t="s">
        <v>78</v>
      </c>
      <c r="B52" s="2" t="s">
        <v>46</v>
      </c>
      <c r="C52" s="2">
        <v>3.37</v>
      </c>
      <c r="D52" s="22">
        <f t="shared" si="20"/>
        <v>3.0842240000000003</v>
      </c>
      <c r="E52" s="4">
        <v>90.67</v>
      </c>
      <c r="F52" s="4">
        <v>2.64</v>
      </c>
      <c r="G52" s="5">
        <f t="shared" si="0"/>
        <v>279.64659008000001</v>
      </c>
      <c r="H52" s="51">
        <f t="shared" si="23"/>
        <v>1.2765151515151516</v>
      </c>
      <c r="I52" s="24">
        <f>0.1484+0.1349</f>
        <v>0.2833</v>
      </c>
      <c r="J52" s="66">
        <v>0.04</v>
      </c>
      <c r="K52" s="26">
        <f t="shared" si="24"/>
        <v>8.4065281899109792E-2</v>
      </c>
      <c r="L52" s="27">
        <f t="shared" si="2"/>
        <v>0.38890000000000002</v>
      </c>
      <c r="M52" s="27">
        <f t="shared" si="16"/>
        <v>0.37498621374214181</v>
      </c>
      <c r="N52" s="26">
        <f t="shared" si="3"/>
        <v>0.14731060606060606</v>
      </c>
      <c r="O52" s="27">
        <f t="shared" si="17"/>
        <v>0.37498621374214181</v>
      </c>
      <c r="P52" s="49">
        <f t="shared" si="18"/>
        <v>8.224899708235295</v>
      </c>
      <c r="Q52" s="52">
        <v>195</v>
      </c>
      <c r="R52" s="4">
        <v>69</v>
      </c>
      <c r="S52" s="4">
        <v>49</v>
      </c>
      <c r="T52" s="4">
        <v>33</v>
      </c>
      <c r="U52" s="4">
        <v>34</v>
      </c>
      <c r="V52" s="29">
        <f t="shared" si="4"/>
        <v>1.0303030303030303</v>
      </c>
      <c r="W52" s="4">
        <v>34</v>
      </c>
      <c r="X52" s="4">
        <v>67</v>
      </c>
      <c r="Y52" s="4">
        <v>17.600000000000001</v>
      </c>
      <c r="Z52" s="2">
        <v>0</v>
      </c>
      <c r="AA52" s="4">
        <v>0.5</v>
      </c>
      <c r="AB52" s="4">
        <v>192</v>
      </c>
      <c r="AC52" s="4"/>
      <c r="AD52" s="4"/>
      <c r="AE52" s="4">
        <v>1</v>
      </c>
      <c r="AF52" s="4"/>
      <c r="AG52" s="4"/>
      <c r="AH52" s="4">
        <v>6</v>
      </c>
      <c r="AI52" s="4">
        <v>10</v>
      </c>
      <c r="AJ52" s="4">
        <v>362</v>
      </c>
      <c r="AK52" s="4">
        <v>263</v>
      </c>
      <c r="AL52" s="4">
        <v>136</v>
      </c>
      <c r="AM52" s="4">
        <v>74</v>
      </c>
      <c r="AN52" s="5">
        <f t="shared" si="22"/>
        <v>288</v>
      </c>
      <c r="AO52" s="30">
        <v>42</v>
      </c>
      <c r="AP52" s="4">
        <v>15.2</v>
      </c>
      <c r="AQ52" s="4">
        <v>24.8</v>
      </c>
      <c r="AR52" s="13">
        <v>20.2</v>
      </c>
      <c r="AS52" s="28">
        <f t="shared" si="6"/>
        <v>20.066666666666666</v>
      </c>
      <c r="AT52" s="32">
        <v>68</v>
      </c>
      <c r="AU52" s="32">
        <v>63</v>
      </c>
      <c r="AV52" s="32">
        <v>41</v>
      </c>
      <c r="AW52" s="32">
        <v>69</v>
      </c>
      <c r="AX52" s="32">
        <v>49</v>
      </c>
      <c r="AY52" s="32">
        <v>34</v>
      </c>
      <c r="AZ52" s="33">
        <f t="shared" si="11"/>
        <v>1.131578947368421</v>
      </c>
      <c r="BA52" s="34">
        <f t="shared" si="7"/>
        <v>57.333333333333336</v>
      </c>
      <c r="BB52" s="41">
        <f t="shared" si="12"/>
        <v>37.266666666666666</v>
      </c>
      <c r="BC52" s="34">
        <f t="shared" si="13"/>
        <v>177</v>
      </c>
      <c r="BD52" s="28">
        <f t="shared" si="14"/>
        <v>8.8205980066445182</v>
      </c>
      <c r="BE52" s="35">
        <f t="shared" si="8"/>
        <v>0.63294174246632029</v>
      </c>
      <c r="BF52" t="str">
        <f t="shared" si="9"/>
        <v>飞鹤</v>
      </c>
    </row>
    <row r="53" spans="1:58" x14ac:dyDescent="0.2">
      <c r="A53" s="65" t="s">
        <v>78</v>
      </c>
      <c r="B53" s="37" t="s">
        <v>47</v>
      </c>
      <c r="C53" s="71">
        <v>4.1399999999999997</v>
      </c>
      <c r="D53" s="22">
        <f t="shared" si="20"/>
        <v>3.7889279999999999</v>
      </c>
      <c r="E53" s="4">
        <v>90.67</v>
      </c>
      <c r="F53" s="4">
        <v>2.75</v>
      </c>
      <c r="G53" s="5">
        <f t="shared" si="0"/>
        <v>343.54210175999998</v>
      </c>
      <c r="H53" s="51">
        <f t="shared" si="23"/>
        <v>1.5054545454545454</v>
      </c>
      <c r="I53" s="24">
        <v>0.28999999999999998</v>
      </c>
      <c r="J53" s="66">
        <f>F53/F52-1</f>
        <v>4.1666666666666519E-2</v>
      </c>
      <c r="K53" s="26">
        <f t="shared" si="24"/>
        <v>7.0048309178743967E-2</v>
      </c>
      <c r="L53" s="27">
        <f t="shared" si="2"/>
        <v>0.40458333333333291</v>
      </c>
      <c r="M53" s="27">
        <f t="shared" si="16"/>
        <v>0.37498621374214181</v>
      </c>
      <c r="N53" s="26">
        <f t="shared" si="3"/>
        <v>0.14712121212121196</v>
      </c>
      <c r="O53" s="27">
        <f t="shared" si="17"/>
        <v>0.37498621374214181</v>
      </c>
      <c r="P53" s="49">
        <f t="shared" si="18"/>
        <v>10.104179463529411</v>
      </c>
      <c r="Q53" s="52">
        <v>195</v>
      </c>
      <c r="R53" s="4">
        <v>69</v>
      </c>
      <c r="S53" s="4">
        <v>49</v>
      </c>
      <c r="T53" s="4">
        <v>33</v>
      </c>
      <c r="U53" s="4">
        <v>34</v>
      </c>
      <c r="V53" s="29">
        <f t="shared" si="4"/>
        <v>1.0303030303030303</v>
      </c>
      <c r="W53" s="4">
        <v>34</v>
      </c>
      <c r="X53" s="4">
        <v>67</v>
      </c>
      <c r="Y53" s="4">
        <v>17.600000000000001</v>
      </c>
      <c r="Z53" s="2">
        <v>0</v>
      </c>
      <c r="AA53" s="4">
        <v>0.5</v>
      </c>
      <c r="AB53" s="4">
        <v>192</v>
      </c>
      <c r="AC53" s="4"/>
      <c r="AD53" s="4"/>
      <c r="AE53" s="4">
        <v>1</v>
      </c>
      <c r="AF53" s="4"/>
      <c r="AG53" s="4"/>
      <c r="AH53" s="4">
        <v>6</v>
      </c>
      <c r="AI53" s="4">
        <v>10</v>
      </c>
      <c r="AJ53" s="4">
        <v>362</v>
      </c>
      <c r="AK53" s="4">
        <v>263</v>
      </c>
      <c r="AL53" s="4">
        <v>135</v>
      </c>
      <c r="AM53" s="4">
        <v>66</v>
      </c>
      <c r="AN53" s="5">
        <f t="shared" si="22"/>
        <v>296</v>
      </c>
      <c r="AO53" s="30">
        <v>42</v>
      </c>
      <c r="AP53" s="4">
        <v>15</v>
      </c>
      <c r="AQ53" s="4">
        <v>15.2</v>
      </c>
      <c r="AR53" s="13">
        <v>24.8</v>
      </c>
      <c r="AS53" s="28">
        <f t="shared" si="6"/>
        <v>18.333333333333332</v>
      </c>
      <c r="AT53" s="32">
        <v>68</v>
      </c>
      <c r="AU53" s="32">
        <v>63</v>
      </c>
      <c r="AV53" s="32">
        <v>41</v>
      </c>
      <c r="AW53" s="32">
        <v>69</v>
      </c>
      <c r="AX53" s="32">
        <v>49</v>
      </c>
      <c r="AY53" s="32">
        <v>34</v>
      </c>
      <c r="AZ53" s="33">
        <f t="shared" si="11"/>
        <v>1.131578947368421</v>
      </c>
      <c r="BA53" s="34">
        <f t="shared" si="7"/>
        <v>57.333333333333336</v>
      </c>
      <c r="BB53" s="41">
        <f t="shared" si="12"/>
        <v>39</v>
      </c>
      <c r="BC53" s="34">
        <f t="shared" si="13"/>
        <v>177</v>
      </c>
      <c r="BD53" s="43">
        <f t="shared" si="14"/>
        <v>9.6545454545454543</v>
      </c>
      <c r="BE53" s="44">
        <f t="shared" si="8"/>
        <v>0.51522069374673907</v>
      </c>
      <c r="BF53" t="str">
        <f t="shared" si="9"/>
        <v>飞鹤</v>
      </c>
    </row>
    <row r="54" spans="1:58" x14ac:dyDescent="0.2">
      <c r="A54" s="53" t="s">
        <v>79</v>
      </c>
      <c r="B54" s="2" t="s">
        <v>46</v>
      </c>
      <c r="C54" s="2">
        <v>7.33</v>
      </c>
      <c r="D54" s="22">
        <f t="shared" si="20"/>
        <v>6.7084160000000006</v>
      </c>
      <c r="E54" s="4">
        <v>6.77</v>
      </c>
      <c r="F54" s="4">
        <v>18.02</v>
      </c>
      <c r="G54" s="5">
        <f t="shared" si="0"/>
        <v>45.415976319999999</v>
      </c>
      <c r="H54" s="51">
        <f t="shared" si="23"/>
        <v>0.40677025527192012</v>
      </c>
      <c r="I54" s="24">
        <v>0.6</v>
      </c>
      <c r="J54" s="66">
        <v>2.5000000000000001E-2</v>
      </c>
      <c r="K54" s="26">
        <f t="shared" si="24"/>
        <v>8.1855388813096855E-2</v>
      </c>
      <c r="L54" s="27">
        <f t="shared" si="2"/>
        <v>1.0505</v>
      </c>
      <c r="M54" s="27">
        <f t="shared" si="16"/>
        <v>1.4859675036927624</v>
      </c>
      <c r="N54" s="26">
        <f t="shared" si="3"/>
        <v>5.8296337402885687E-2</v>
      </c>
      <c r="O54" s="27">
        <f t="shared" si="17"/>
        <v>1.4963072378138851</v>
      </c>
      <c r="P54" s="49">
        <f>C54*E54/W54</f>
        <v>4.9328131212723658</v>
      </c>
      <c r="Q54" s="52">
        <v>250</v>
      </c>
      <c r="R54" s="4">
        <v>184</v>
      </c>
      <c r="S54" s="4">
        <v>12.97</v>
      </c>
      <c r="T54" s="4">
        <v>10</v>
      </c>
      <c r="U54" s="4">
        <v>10.130000000000001</v>
      </c>
      <c r="V54" s="29">
        <f t="shared" si="4"/>
        <v>1.0130000000000001</v>
      </c>
      <c r="W54" s="4">
        <v>10.06</v>
      </c>
      <c r="X54" s="4">
        <v>42.54</v>
      </c>
      <c r="Y54" s="4">
        <v>9.89</v>
      </c>
      <c r="Z54" s="2">
        <v>0</v>
      </c>
      <c r="AA54" s="4">
        <v>1.3</v>
      </c>
      <c r="AB54" s="4">
        <v>11.1</v>
      </c>
      <c r="AC54" s="4">
        <v>9.6999999999999993</v>
      </c>
      <c r="AD54" s="4">
        <v>122.6</v>
      </c>
      <c r="AE54" s="4">
        <v>9.2100000000000009</v>
      </c>
      <c r="AF54" s="4">
        <v>1.35</v>
      </c>
      <c r="AG54" s="4"/>
      <c r="AH54" s="4">
        <v>16.059999999999999</v>
      </c>
      <c r="AI54" s="4">
        <v>9.7100000000000009</v>
      </c>
      <c r="AJ54" s="4">
        <v>192</v>
      </c>
      <c r="AK54" s="4">
        <v>121.7</v>
      </c>
      <c r="AL54" s="4">
        <v>37</v>
      </c>
      <c r="AM54" s="4">
        <v>54</v>
      </c>
      <c r="AN54" s="5">
        <f t="shared" si="22"/>
        <v>138</v>
      </c>
      <c r="AO54" s="30">
        <v>21.6</v>
      </c>
      <c r="AP54" s="4">
        <v>4.43</v>
      </c>
      <c r="AQ54" s="4">
        <v>3.93</v>
      </c>
      <c r="AR54" s="13">
        <v>4.16</v>
      </c>
      <c r="AS54" s="28">
        <f>AVERAGE(AP54:AR54)</f>
        <v>4.1733333333333329</v>
      </c>
      <c r="AT54" s="32">
        <v>-7.25</v>
      </c>
      <c r="AU54" s="32">
        <v>0.33</v>
      </c>
      <c r="AV54" s="32">
        <v>21.6</v>
      </c>
      <c r="AW54" s="32">
        <v>6.43</v>
      </c>
      <c r="AX54" s="32">
        <v>4.5199999999999996</v>
      </c>
      <c r="AY54" s="32">
        <v>10.130000000000001</v>
      </c>
      <c r="AZ54" s="33">
        <f t="shared" si="11"/>
        <v>0.696394686907021</v>
      </c>
      <c r="BA54" s="34">
        <f t="shared" si="7"/>
        <v>4.8933333333333335</v>
      </c>
      <c r="BB54" s="41">
        <f t="shared" si="12"/>
        <v>0.72000000000000064</v>
      </c>
      <c r="BC54" s="34">
        <f t="shared" si="13"/>
        <v>-5.4599999999999973</v>
      </c>
      <c r="BD54" s="28">
        <f t="shared" si="14"/>
        <v>-1.3083067092651752</v>
      </c>
      <c r="BE54" s="35">
        <f t="shared" si="8"/>
        <v>-0.12022201089609863</v>
      </c>
      <c r="BF54" t="str">
        <f t="shared" si="9"/>
        <v>周生生</v>
      </c>
    </row>
    <row r="55" spans="1:58" x14ac:dyDescent="0.2">
      <c r="A55" s="1" t="s">
        <v>79</v>
      </c>
      <c r="B55" s="37" t="s">
        <v>47</v>
      </c>
      <c r="C55" s="2">
        <v>8.33</v>
      </c>
      <c r="D55" s="22">
        <f t="shared" si="20"/>
        <v>7.6236160000000002</v>
      </c>
      <c r="E55" s="4">
        <v>6.73</v>
      </c>
      <c r="F55" s="4">
        <v>18.48</v>
      </c>
      <c r="G55" s="5">
        <f t="shared" si="0"/>
        <v>51.306935680000002</v>
      </c>
      <c r="H55" s="51">
        <f t="shared" si="23"/>
        <v>0.45075757575757575</v>
      </c>
      <c r="I55" s="24">
        <v>0.51</v>
      </c>
      <c r="J55" s="66">
        <f>F55/F54-1</f>
        <v>2.5527192008879096E-2</v>
      </c>
      <c r="K55" s="26">
        <f t="shared" si="24"/>
        <v>6.1224489795918366E-2</v>
      </c>
      <c r="L55" s="27">
        <f t="shared" si="2"/>
        <v>0.98174250832408572</v>
      </c>
      <c r="M55" s="27">
        <f t="shared" si="16"/>
        <v>1.1485884101040118</v>
      </c>
      <c r="N55" s="26">
        <f t="shared" si="3"/>
        <v>5.3124594606281696E-2</v>
      </c>
      <c r="O55" s="27">
        <f t="shared" si="17"/>
        <v>1.1976225854383358</v>
      </c>
      <c r="P55" s="49">
        <f>C55*E55/W55</f>
        <v>7.2523803363518757</v>
      </c>
      <c r="Q55" s="52">
        <v>212</v>
      </c>
      <c r="R55" s="4">
        <v>152</v>
      </c>
      <c r="S55" s="4">
        <v>10.3</v>
      </c>
      <c r="T55" s="4">
        <v>7.94</v>
      </c>
      <c r="U55" s="4">
        <v>8.06</v>
      </c>
      <c r="V55" s="29">
        <f t="shared" si="4"/>
        <v>1.0151133501259446</v>
      </c>
      <c r="W55" s="4">
        <f>8.06-0.33</f>
        <v>7.73</v>
      </c>
      <c r="X55" s="4">
        <v>40</v>
      </c>
      <c r="Y55" s="4">
        <v>9.92</v>
      </c>
      <c r="Z55" s="2">
        <v>0</v>
      </c>
      <c r="AA55" s="4">
        <v>1.4</v>
      </c>
      <c r="AB55" s="4">
        <v>13.57</v>
      </c>
      <c r="AC55" s="4">
        <v>7.9</v>
      </c>
      <c r="AD55" s="4">
        <v>127.9</v>
      </c>
      <c r="AE55" s="4">
        <v>10.1</v>
      </c>
      <c r="AF55" s="4">
        <v>1.35</v>
      </c>
      <c r="AG55" s="4"/>
      <c r="AH55" s="4">
        <v>17.8</v>
      </c>
      <c r="AI55" s="4">
        <v>7.9</v>
      </c>
      <c r="AJ55" s="4">
        <v>196.5</v>
      </c>
      <c r="AK55" s="4">
        <v>123.8</v>
      </c>
      <c r="AL55" s="4">
        <v>36</v>
      </c>
      <c r="AM55" s="4">
        <v>61</v>
      </c>
      <c r="AN55" s="5">
        <f t="shared" si="22"/>
        <v>135.5</v>
      </c>
      <c r="AO55" s="30">
        <f>15.4-5.27</f>
        <v>10.130000000000001</v>
      </c>
      <c r="AP55" s="4">
        <v>2.14</v>
      </c>
      <c r="AQ55" s="4">
        <v>4.43</v>
      </c>
      <c r="AR55" s="13">
        <v>3.93</v>
      </c>
      <c r="AS55" s="28">
        <f t="shared" si="6"/>
        <v>3.5</v>
      </c>
      <c r="AT55" s="32">
        <v>0.33</v>
      </c>
      <c r="AU55" s="32">
        <v>21.6</v>
      </c>
      <c r="AV55" s="32">
        <f>15.4-5.27</f>
        <v>10.130000000000001</v>
      </c>
      <c r="AW55" s="32">
        <v>8.06</v>
      </c>
      <c r="AX55" s="32">
        <v>10.130000000000001</v>
      </c>
      <c r="AY55" s="32">
        <v>4.5199999999999996</v>
      </c>
      <c r="AZ55" s="33">
        <f t="shared" si="11"/>
        <v>1.4117129018053722</v>
      </c>
      <c r="BA55" s="34">
        <f t="shared" si="7"/>
        <v>10.686666666666667</v>
      </c>
      <c r="BB55" s="41">
        <f t="shared" si="12"/>
        <v>7.1866666666666674</v>
      </c>
      <c r="BC55" s="34">
        <f t="shared" si="13"/>
        <v>-2.0299999999999994</v>
      </c>
      <c r="BD55" s="28">
        <f t="shared" si="14"/>
        <v>-0.57999999999999985</v>
      </c>
      <c r="BE55" s="35">
        <f t="shared" si="8"/>
        <v>-3.9565800862890264E-2</v>
      </c>
      <c r="BF55" t="str">
        <f t="shared" si="9"/>
        <v>周生生</v>
      </c>
    </row>
    <row r="56" spans="1:58" x14ac:dyDescent="0.2">
      <c r="A56" s="1" t="s">
        <v>80</v>
      </c>
      <c r="B56" s="37" t="s">
        <v>81</v>
      </c>
      <c r="C56" s="2">
        <v>22.42</v>
      </c>
      <c r="D56" s="22">
        <f t="shared" si="20"/>
        <v>20.518784</v>
      </c>
      <c r="E56" s="4">
        <v>5.87</v>
      </c>
      <c r="F56" s="4">
        <v>22.52</v>
      </c>
      <c r="G56" s="5">
        <f t="shared" si="0"/>
        <v>120.44526208000001</v>
      </c>
      <c r="H56" s="51">
        <f t="shared" si="23"/>
        <v>0.99555950266429849</v>
      </c>
      <c r="I56" s="24">
        <v>1.2</v>
      </c>
      <c r="J56" s="66">
        <v>0.06</v>
      </c>
      <c r="K56" s="26">
        <f t="shared" si="24"/>
        <v>5.3523639607493304E-2</v>
      </c>
      <c r="L56" s="27">
        <f t="shared" si="2"/>
        <v>2.5511999999999997</v>
      </c>
      <c r="M56" s="27">
        <f t="shared" si="16"/>
        <v>3.0153321976149914</v>
      </c>
      <c r="N56" s="26">
        <f t="shared" si="3"/>
        <v>0.11328596802841917</v>
      </c>
      <c r="O56" s="27">
        <f t="shared" si="17"/>
        <v>3.0153321976149914</v>
      </c>
      <c r="P56" s="49">
        <f>C56*E56/W56</f>
        <v>7.4353333333333342</v>
      </c>
      <c r="Q56" s="52">
        <v>153</v>
      </c>
      <c r="R56" s="4">
        <v>112</v>
      </c>
      <c r="S56" s="4">
        <v>21</v>
      </c>
      <c r="T56" s="4">
        <v>17.600000000000001</v>
      </c>
      <c r="U56" s="4">
        <v>17.7</v>
      </c>
      <c r="V56" s="29">
        <f t="shared" si="4"/>
        <v>1.0056818181818181</v>
      </c>
      <c r="W56" s="4">
        <v>17.7</v>
      </c>
      <c r="X56" s="4">
        <v>20.399999999999999</v>
      </c>
      <c r="Y56" s="4">
        <v>2.56</v>
      </c>
      <c r="Z56" s="2">
        <v>0</v>
      </c>
      <c r="AA56" s="4">
        <v>0.6</v>
      </c>
      <c r="AB56" s="4">
        <v>19.34</v>
      </c>
      <c r="AC56" s="4">
        <v>2.2000000000000002</v>
      </c>
      <c r="AD56" s="4">
        <v>98.63</v>
      </c>
      <c r="AE56" s="4">
        <v>0</v>
      </c>
      <c r="AF56" s="4">
        <v>3.16</v>
      </c>
      <c r="AG56" s="4"/>
      <c r="AH56" s="4">
        <v>17.48</v>
      </c>
      <c r="AI56" s="4">
        <v>2.94</v>
      </c>
      <c r="AJ56" s="4">
        <v>171</v>
      </c>
      <c r="AK56" s="4">
        <v>132</v>
      </c>
      <c r="AL56" s="4">
        <v>46</v>
      </c>
      <c r="AM56" s="4">
        <v>35</v>
      </c>
      <c r="AN56" s="5">
        <f t="shared" si="22"/>
        <v>136</v>
      </c>
      <c r="AO56" s="30">
        <v>16.600000000000001</v>
      </c>
      <c r="AP56" s="4">
        <v>6.76</v>
      </c>
      <c r="AQ56" s="4">
        <v>1</v>
      </c>
      <c r="AR56" s="13">
        <v>1.8</v>
      </c>
      <c r="AS56" s="28">
        <f t="shared" si="6"/>
        <v>3.186666666666667</v>
      </c>
      <c r="AT56" s="32">
        <v>16.63</v>
      </c>
      <c r="AU56" s="32">
        <v>13.4</v>
      </c>
      <c r="AV56" s="32">
        <v>7.4</v>
      </c>
      <c r="AW56" s="32">
        <v>17.670000000000002</v>
      </c>
      <c r="AX56" s="32">
        <v>12.9</v>
      </c>
      <c r="AY56" s="32">
        <v>13.9</v>
      </c>
      <c r="AZ56" s="33">
        <f t="shared" si="11"/>
        <v>0.84169102765909598</v>
      </c>
      <c r="BA56" s="34">
        <f t="shared" si="7"/>
        <v>12.476666666666667</v>
      </c>
      <c r="BB56" s="41">
        <f t="shared" si="12"/>
        <v>9.2899999999999991</v>
      </c>
      <c r="BC56" s="34">
        <f t="shared" si="13"/>
        <v>-1.0800000000000005</v>
      </c>
      <c r="BD56" s="28">
        <f t="shared" si="14"/>
        <v>-0.3389121338912135</v>
      </c>
      <c r="BE56" s="35">
        <f t="shared" si="8"/>
        <v>-8.9667287973740489E-3</v>
      </c>
      <c r="BF56" t="str">
        <f t="shared" si="9"/>
        <v>六福集团</v>
      </c>
    </row>
    <row r="57" spans="1:58" x14ac:dyDescent="0.2">
      <c r="A57" s="1" t="s">
        <v>82</v>
      </c>
      <c r="B57" s="2" t="s">
        <v>46</v>
      </c>
      <c r="C57" s="2">
        <v>12.6</v>
      </c>
      <c r="D57" s="22">
        <f t="shared" si="20"/>
        <v>11.53152</v>
      </c>
      <c r="E57" s="4">
        <v>99.88</v>
      </c>
      <c r="F57" s="4">
        <v>2.57</v>
      </c>
      <c r="G57" s="5">
        <f t="shared" si="0"/>
        <v>1151.7682176000001</v>
      </c>
      <c r="H57" s="51">
        <f t="shared" si="23"/>
        <v>4.9027237354085607</v>
      </c>
      <c r="I57" s="24">
        <v>0.6</v>
      </c>
      <c r="J57" s="66">
        <v>0</v>
      </c>
      <c r="K57" s="26">
        <f t="shared" si="24"/>
        <v>4.7619047619047616E-2</v>
      </c>
      <c r="L57" s="27">
        <f t="shared" si="2"/>
        <v>0.6</v>
      </c>
      <c r="M57" s="27">
        <f t="shared" si="16"/>
        <v>0.60072086503804567</v>
      </c>
      <c r="N57" s="26">
        <f t="shared" si="3"/>
        <v>0.23346303501945526</v>
      </c>
      <c r="O57" s="27">
        <f t="shared" si="17"/>
        <v>0.65078093712454954</v>
      </c>
      <c r="P57" s="49">
        <f>C57*E57/W57</f>
        <v>20.974799999999998</v>
      </c>
      <c r="Q57" s="52">
        <v>1087</v>
      </c>
      <c r="R57" s="4">
        <v>864</v>
      </c>
      <c r="S57" s="4">
        <v>88</v>
      </c>
      <c r="T57" s="4">
        <v>66</v>
      </c>
      <c r="U57" s="4">
        <v>65</v>
      </c>
      <c r="V57" s="29">
        <f t="shared" si="4"/>
        <v>0.98484848484848486</v>
      </c>
      <c r="W57" s="4">
        <v>60</v>
      </c>
      <c r="X57" s="4">
        <v>95</v>
      </c>
      <c r="Y57" s="4">
        <v>42</v>
      </c>
      <c r="Z57" s="2">
        <v>0</v>
      </c>
      <c r="AA57" s="4">
        <v>7.05</v>
      </c>
      <c r="AB57" s="4">
        <v>77</v>
      </c>
      <c r="AC57" s="4">
        <v>29</v>
      </c>
      <c r="AD57" s="4">
        <v>646.5</v>
      </c>
      <c r="AE57" s="4">
        <v>1.1000000000000001</v>
      </c>
      <c r="AF57" s="4">
        <v>10.4</v>
      </c>
      <c r="AG57" s="4"/>
      <c r="AH57" s="4">
        <v>259</v>
      </c>
      <c r="AI57" s="4">
        <v>40</v>
      </c>
      <c r="AJ57" s="4">
        <v>888</v>
      </c>
      <c r="AK57" s="4">
        <v>267</v>
      </c>
      <c r="AL57" s="4">
        <v>95</v>
      </c>
      <c r="AM57" s="4">
        <v>581</v>
      </c>
      <c r="AN57" s="5">
        <f t="shared" si="22"/>
        <v>307</v>
      </c>
      <c r="AO57" s="30">
        <v>103</v>
      </c>
      <c r="AP57" s="4">
        <v>5.8</v>
      </c>
      <c r="AQ57" s="4">
        <v>9.6</v>
      </c>
      <c r="AR57" s="13">
        <v>19.8</v>
      </c>
      <c r="AS57" s="28">
        <f t="shared" si="6"/>
        <v>11.733333333333334</v>
      </c>
      <c r="AT57" s="32">
        <v>139</v>
      </c>
      <c r="AU57" s="32">
        <v>101</v>
      </c>
      <c r="AV57" s="32">
        <v>138</v>
      </c>
      <c r="AW57" s="32">
        <v>67</v>
      </c>
      <c r="AX57" s="32">
        <v>54</v>
      </c>
      <c r="AY57" s="32">
        <v>65</v>
      </c>
      <c r="AZ57" s="33">
        <f t="shared" si="11"/>
        <v>2.032258064516129</v>
      </c>
      <c r="BA57" s="34">
        <f t="shared" si="7"/>
        <v>126</v>
      </c>
      <c r="BB57" s="41">
        <f t="shared" si="12"/>
        <v>114.26666666666667</v>
      </c>
      <c r="BC57" s="34">
        <f t="shared" si="13"/>
        <v>-220.9</v>
      </c>
      <c r="BD57" s="28">
        <f t="shared" si="14"/>
        <v>-18.826704545454543</v>
      </c>
      <c r="BE57" s="35">
        <f t="shared" si="8"/>
        <v>-0.19179206078485211</v>
      </c>
      <c r="BF57" t="str">
        <f t="shared" si="9"/>
        <v>周大福</v>
      </c>
    </row>
    <row r="58" spans="1:58" ht="16" thickBot="1" x14ac:dyDescent="0.25">
      <c r="A58" s="1" t="s">
        <v>83</v>
      </c>
      <c r="B58" s="2" t="s">
        <v>46</v>
      </c>
      <c r="C58" s="2"/>
      <c r="D58" s="22">
        <v>13.1</v>
      </c>
      <c r="E58" s="4">
        <v>10.96</v>
      </c>
      <c r="F58" s="4">
        <v>5.73</v>
      </c>
      <c r="G58" s="5">
        <f t="shared" si="0"/>
        <v>143.57599999999999</v>
      </c>
      <c r="H58" s="51">
        <f>D58/F58</f>
        <v>2.2862129144851657</v>
      </c>
      <c r="I58" s="24">
        <v>0.95</v>
      </c>
      <c r="J58" s="66">
        <v>0.05</v>
      </c>
      <c r="K58" s="26">
        <f>I58/D58</f>
        <v>7.2519083969465645E-2</v>
      </c>
      <c r="L58" s="27">
        <f t="shared" si="2"/>
        <v>1.2364999999999999</v>
      </c>
      <c r="M58" s="27">
        <f t="shared" si="16"/>
        <v>1.1569343065693429</v>
      </c>
      <c r="N58" s="26">
        <f t="shared" si="3"/>
        <v>0.21579406631762649</v>
      </c>
      <c r="O58" s="27">
        <f t="shared" si="17"/>
        <v>1.2007299270072991</v>
      </c>
      <c r="P58" s="49">
        <f>D58*E58/W58</f>
        <v>11.323028391167192</v>
      </c>
      <c r="Q58" s="52">
        <v>163</v>
      </c>
      <c r="R58" s="4">
        <v>133</v>
      </c>
      <c r="S58" s="4">
        <v>17</v>
      </c>
      <c r="T58" s="4">
        <v>13.13</v>
      </c>
      <c r="U58" s="4">
        <v>13.16</v>
      </c>
      <c r="V58" s="29">
        <f t="shared" si="4"/>
        <v>1.0022848438690022</v>
      </c>
      <c r="W58" s="4">
        <v>12.68</v>
      </c>
      <c r="X58" s="4">
        <v>9.44</v>
      </c>
      <c r="Y58" s="4">
        <v>1.06</v>
      </c>
      <c r="Z58" s="2">
        <v>0.1</v>
      </c>
      <c r="AA58" s="4">
        <v>0.3</v>
      </c>
      <c r="AB58" s="4">
        <v>8.5</v>
      </c>
      <c r="AC58" s="4">
        <v>15</v>
      </c>
      <c r="AD58" s="4">
        <v>36</v>
      </c>
      <c r="AE58" s="4">
        <v>1.55</v>
      </c>
      <c r="AF58" s="4">
        <v>1.5</v>
      </c>
      <c r="AG58" s="4"/>
      <c r="AH58" s="4">
        <v>2</v>
      </c>
      <c r="AI58" s="4">
        <v>0.2</v>
      </c>
      <c r="AJ58" s="4">
        <v>80</v>
      </c>
      <c r="AK58" s="4">
        <v>64</v>
      </c>
      <c r="AL58" s="4">
        <v>17</v>
      </c>
      <c r="AM58" s="4">
        <v>16</v>
      </c>
      <c r="AN58" s="5">
        <f t="shared" si="22"/>
        <v>64</v>
      </c>
      <c r="AO58" s="30">
        <v>1.39</v>
      </c>
      <c r="AP58" s="4">
        <v>2.15</v>
      </c>
      <c r="AQ58" s="4">
        <v>1.23</v>
      </c>
      <c r="AR58" s="13">
        <v>1.54</v>
      </c>
      <c r="AS58" s="28">
        <f>AVERAGE(AP58:AR58)</f>
        <v>1.64</v>
      </c>
      <c r="AT58" s="32">
        <v>1.97</v>
      </c>
      <c r="AU58" s="32">
        <v>10.18</v>
      </c>
      <c r="AV58" s="32">
        <v>1.39</v>
      </c>
      <c r="AW58" s="32">
        <v>12.25</v>
      </c>
      <c r="AX58" s="32">
        <v>10.91</v>
      </c>
      <c r="AY58" s="32">
        <v>13.16</v>
      </c>
      <c r="AZ58" s="33">
        <f t="shared" si="11"/>
        <v>0.37279735682819387</v>
      </c>
      <c r="BA58" s="34">
        <f t="shared" si="7"/>
        <v>4.5133333333333336</v>
      </c>
      <c r="BB58" s="41">
        <f t="shared" si="12"/>
        <v>2.873333333333334</v>
      </c>
      <c r="BC58" s="34">
        <f t="shared" si="13"/>
        <v>7.8500000000000005</v>
      </c>
      <c r="BD58" s="43">
        <f t="shared" si="14"/>
        <v>4.786585365853659</v>
      </c>
      <c r="BE58" s="35">
        <f t="shared" si="8"/>
        <v>5.4674876023848004E-2</v>
      </c>
      <c r="BF58" t="str">
        <f t="shared" si="9"/>
        <v>周大生</v>
      </c>
    </row>
    <row r="59" spans="1:58" ht="16" thickBot="1" x14ac:dyDescent="0.25">
      <c r="A59" s="1" t="s">
        <v>84</v>
      </c>
      <c r="B59" s="2" t="s">
        <v>46</v>
      </c>
      <c r="C59" s="2">
        <v>6.43</v>
      </c>
      <c r="D59" s="22">
        <f>C59*$B$2</f>
        <v>5.8847360000000002</v>
      </c>
      <c r="E59" s="4">
        <v>43.19</v>
      </c>
      <c r="F59" s="4">
        <v>3.1</v>
      </c>
      <c r="G59" s="5">
        <f t="shared" si="0"/>
        <v>254.16174784</v>
      </c>
      <c r="H59" s="51">
        <f>C59/F59</f>
        <v>2.0741935483870968</v>
      </c>
      <c r="I59" s="24">
        <v>0.55000000000000004</v>
      </c>
      <c r="J59" s="66">
        <v>0</v>
      </c>
      <c r="K59" s="26">
        <f>I59/C59</f>
        <v>8.5536547433903584E-2</v>
      </c>
      <c r="L59" s="27">
        <f t="shared" si="2"/>
        <v>0.55000000000000004</v>
      </c>
      <c r="M59" s="27">
        <f t="shared" si="16"/>
        <v>0.32519101643899057</v>
      </c>
      <c r="N59" s="26">
        <f t="shared" si="3"/>
        <v>0.17741935483870969</v>
      </c>
      <c r="O59" s="27">
        <f t="shared" si="17"/>
        <v>0.38666357953229913</v>
      </c>
      <c r="P59" s="72">
        <f>C59*E59/W59</f>
        <v>19.772993948024201</v>
      </c>
      <c r="Q59" s="52">
        <v>286</v>
      </c>
      <c r="R59" s="4">
        <v>199</v>
      </c>
      <c r="S59" s="4">
        <v>22.44</v>
      </c>
      <c r="T59" s="4">
        <v>16.7</v>
      </c>
      <c r="U59" s="4">
        <v>16.7</v>
      </c>
      <c r="V59" s="29">
        <f t="shared" si="4"/>
        <v>1</v>
      </c>
      <c r="W59" s="4">
        <f>16.67-3.5*0.75</f>
        <v>14.045000000000002</v>
      </c>
      <c r="X59" s="4">
        <v>63</v>
      </c>
      <c r="Y59" s="4">
        <v>10.7</v>
      </c>
      <c r="Z59" s="2">
        <v>0</v>
      </c>
      <c r="AA59" s="4">
        <v>0.6</v>
      </c>
      <c r="AB59" s="4">
        <v>41</v>
      </c>
      <c r="AC59" s="4">
        <v>5.86</v>
      </c>
      <c r="AD59" s="4">
        <v>21.26</v>
      </c>
      <c r="AE59" s="4">
        <v>8.5</v>
      </c>
      <c r="AF59" s="4">
        <v>21.2</v>
      </c>
      <c r="AG59" s="4"/>
      <c r="AH59" s="4">
        <v>10.199999999999999</v>
      </c>
      <c r="AI59" s="4">
        <v>0.6</v>
      </c>
      <c r="AJ59" s="4">
        <v>221</v>
      </c>
      <c r="AK59" s="4">
        <v>134</v>
      </c>
      <c r="AL59" s="4">
        <v>143</v>
      </c>
      <c r="AM59" s="4">
        <v>92</v>
      </c>
      <c r="AN59" s="5">
        <f t="shared" si="22"/>
        <v>129</v>
      </c>
      <c r="AO59" s="30">
        <v>30.5</v>
      </c>
      <c r="AP59" s="4">
        <v>9.6</v>
      </c>
      <c r="AQ59" s="4">
        <v>4.4000000000000004</v>
      </c>
      <c r="AR59" s="13">
        <v>3.8</v>
      </c>
      <c r="AS59" s="28">
        <f t="shared" si="6"/>
        <v>5.9333333333333336</v>
      </c>
      <c r="AT59" s="32">
        <v>31</v>
      </c>
      <c r="AU59" s="32">
        <v>14.3</v>
      </c>
      <c r="AV59" s="32">
        <v>24</v>
      </c>
      <c r="AW59" s="32">
        <v>15</v>
      </c>
      <c r="AX59" s="32">
        <v>12</v>
      </c>
      <c r="AY59" s="32">
        <v>16.7</v>
      </c>
      <c r="AZ59" s="33">
        <f t="shared" si="11"/>
        <v>1.5858123569794049</v>
      </c>
      <c r="BA59" s="34">
        <f t="shared" si="7"/>
        <v>23.099999999999998</v>
      </c>
      <c r="BB59" s="41">
        <f t="shared" si="12"/>
        <v>17.166666666666664</v>
      </c>
      <c r="BC59" s="34">
        <f t="shared" si="13"/>
        <v>38.699999999999996</v>
      </c>
      <c r="BD59" s="28">
        <f t="shared" si="14"/>
        <v>6.5224719101123583</v>
      </c>
      <c r="BE59" s="35">
        <f t="shared" si="8"/>
        <v>0.1522652418347486</v>
      </c>
      <c r="BF59" t="str">
        <f t="shared" si="9"/>
        <v>统一企业中国</v>
      </c>
    </row>
    <row r="60" spans="1:58" ht="16" thickBot="1" x14ac:dyDescent="0.25">
      <c r="A60" s="50" t="s">
        <v>84</v>
      </c>
      <c r="B60" s="37" t="s">
        <v>47</v>
      </c>
      <c r="C60" s="38">
        <v>8.3000000000000007</v>
      </c>
      <c r="D60" s="22">
        <f>C60*$B$2</f>
        <v>7.5961600000000011</v>
      </c>
      <c r="E60" s="4">
        <v>43.19</v>
      </c>
      <c r="F60" s="4">
        <v>3.1</v>
      </c>
      <c r="G60" s="5">
        <f t="shared" si="0"/>
        <v>328.07815040000003</v>
      </c>
      <c r="H60" s="51">
        <f>C60/F60</f>
        <v>2.67741935483871</v>
      </c>
      <c r="I60" s="24">
        <v>0.42809999999999998</v>
      </c>
      <c r="J60" s="66">
        <v>0</v>
      </c>
      <c r="K60" s="26">
        <f>I60/C60</f>
        <v>5.1578313253012043E-2</v>
      </c>
      <c r="L60" s="27">
        <f t="shared" si="2"/>
        <v>0.42809999999999998</v>
      </c>
      <c r="M60" s="27">
        <f t="shared" si="16"/>
        <v>0.42833989349386437</v>
      </c>
      <c r="N60" s="39">
        <f t="shared" si="3"/>
        <v>0.13809677419354838</v>
      </c>
      <c r="O60" s="27">
        <f t="shared" si="17"/>
        <v>0.42833989349386437</v>
      </c>
      <c r="P60" s="72">
        <f>C60*E60/W60</f>
        <v>19.377135135135138</v>
      </c>
      <c r="Q60" s="52">
        <v>303</v>
      </c>
      <c r="R60" s="4">
        <v>205</v>
      </c>
      <c r="S60" s="4">
        <v>24.3</v>
      </c>
      <c r="T60" s="4">
        <v>18.5</v>
      </c>
      <c r="U60" s="4">
        <v>18.5</v>
      </c>
      <c r="V60" s="29">
        <f t="shared" si="4"/>
        <v>1</v>
      </c>
      <c r="W60" s="4">
        <v>18.5</v>
      </c>
      <c r="X60" s="4">
        <v>67</v>
      </c>
      <c r="Y60" s="4">
        <v>11</v>
      </c>
      <c r="Z60" s="2">
        <v>0</v>
      </c>
      <c r="AA60" s="4">
        <v>0.7</v>
      </c>
      <c r="AB60" s="4">
        <v>51</v>
      </c>
      <c r="AC60" s="4">
        <v>6.3</v>
      </c>
      <c r="AD60" s="4">
        <v>25</v>
      </c>
      <c r="AE60" s="4">
        <v>8.8000000000000007</v>
      </c>
      <c r="AF60" s="4">
        <v>22.8</v>
      </c>
      <c r="AG60" s="4"/>
      <c r="AH60" s="4">
        <v>2.2999999999999998</v>
      </c>
      <c r="AI60" s="4">
        <v>0.6</v>
      </c>
      <c r="AJ60" s="4">
        <v>234</v>
      </c>
      <c r="AK60" s="4">
        <v>134</v>
      </c>
      <c r="AL60" s="4">
        <v>143</v>
      </c>
      <c r="AM60" s="4">
        <v>92</v>
      </c>
      <c r="AN60" s="5">
        <f>AJ60-AM60</f>
        <v>142</v>
      </c>
      <c r="AO60" s="30">
        <v>44</v>
      </c>
      <c r="AP60" s="4">
        <v>7</v>
      </c>
      <c r="AQ60" s="4">
        <v>9.6</v>
      </c>
      <c r="AR60" s="13">
        <v>4.4000000000000004</v>
      </c>
      <c r="AS60" s="28">
        <f>AVERAGE(AP60:AR60)</f>
        <v>7</v>
      </c>
      <c r="AT60" s="32">
        <v>44</v>
      </c>
      <c r="AU60" s="32">
        <v>31</v>
      </c>
      <c r="AV60" s="32">
        <v>14.3</v>
      </c>
      <c r="AW60" s="32">
        <v>18.5</v>
      </c>
      <c r="AX60" s="32">
        <v>16.7</v>
      </c>
      <c r="AY60" s="32">
        <v>12.2</v>
      </c>
      <c r="AZ60" s="33">
        <f t="shared" si="11"/>
        <v>1.8839662447257381</v>
      </c>
      <c r="BA60" s="34">
        <f>AVERAGE(AT60:AV60)</f>
        <v>29.766666666666666</v>
      </c>
      <c r="BB60" s="41">
        <f t="shared" si="12"/>
        <v>22.766666666666666</v>
      </c>
      <c r="BC60" s="42">
        <f t="shared" si="13"/>
        <v>56.9</v>
      </c>
      <c r="BD60" s="43">
        <f t="shared" si="14"/>
        <v>8.1285714285714281</v>
      </c>
      <c r="BE60" s="44">
        <f t="shared" si="8"/>
        <v>0.17343428671073122</v>
      </c>
      <c r="BF60" t="str">
        <f t="shared" si="9"/>
        <v>统一企业中国</v>
      </c>
    </row>
    <row r="61" spans="1:58" ht="16" thickBot="1" x14ac:dyDescent="0.25">
      <c r="A61" s="53" t="s">
        <v>85</v>
      </c>
      <c r="B61" s="2" t="s">
        <v>46</v>
      </c>
      <c r="C61" s="2">
        <v>12.16</v>
      </c>
      <c r="D61" s="22">
        <f>C61*$B$2</f>
        <v>11.128832000000001</v>
      </c>
      <c r="E61" s="4">
        <v>56.34</v>
      </c>
      <c r="F61" s="4">
        <v>2.4700000000000002</v>
      </c>
      <c r="G61" s="5">
        <f t="shared" si="0"/>
        <v>626.99839488000009</v>
      </c>
      <c r="H61" s="51">
        <f>C61/F61</f>
        <v>4.9230769230769225</v>
      </c>
      <c r="I61" s="24">
        <v>0.59399999999999997</v>
      </c>
      <c r="J61" s="66">
        <v>0</v>
      </c>
      <c r="K61" s="26">
        <f>I61/C61</f>
        <v>4.8848684210526315E-2</v>
      </c>
      <c r="L61" s="27">
        <f t="shared" si="2"/>
        <v>0.59399999999999997</v>
      </c>
      <c r="M61" s="27">
        <f t="shared" si="16"/>
        <v>0.55378061767838116</v>
      </c>
      <c r="N61" s="26">
        <f t="shared" si="3"/>
        <v>0.24048582995951415</v>
      </c>
      <c r="O61" s="27">
        <f t="shared" si="17"/>
        <v>0.55378061767838116</v>
      </c>
      <c r="P61" s="72">
        <f>C61*E61/W61</f>
        <v>21.958153846153849</v>
      </c>
      <c r="Q61" s="52">
        <v>804</v>
      </c>
      <c r="R61" s="4">
        <v>560</v>
      </c>
      <c r="S61" s="4">
        <v>32</v>
      </c>
      <c r="T61" s="4">
        <v>35.200000000000003</v>
      </c>
      <c r="U61" s="4">
        <v>31.2</v>
      </c>
      <c r="V61" s="29">
        <f t="shared" si="4"/>
        <v>0.88636363636363624</v>
      </c>
      <c r="W61" s="4">
        <v>31.2</v>
      </c>
      <c r="X61" s="4">
        <v>179</v>
      </c>
      <c r="Y61" s="4">
        <v>26.2</v>
      </c>
      <c r="Z61" s="2">
        <v>0</v>
      </c>
      <c r="AA61" s="4">
        <v>5.2</v>
      </c>
      <c r="AB61" s="4">
        <v>114</v>
      </c>
      <c r="AC61" s="4">
        <v>15.8</v>
      </c>
      <c r="AD61" s="4">
        <v>43.9</v>
      </c>
      <c r="AE61" s="4">
        <v>12.7</v>
      </c>
      <c r="AF61" s="4">
        <v>85.7</v>
      </c>
      <c r="AG61" s="4"/>
      <c r="AH61" s="4">
        <v>86</v>
      </c>
      <c r="AI61" s="4">
        <v>54</v>
      </c>
      <c r="AJ61" s="4">
        <v>532</v>
      </c>
      <c r="AK61" s="4">
        <v>172</v>
      </c>
      <c r="AL61" s="4">
        <v>327</v>
      </c>
      <c r="AM61" s="4">
        <v>292</v>
      </c>
      <c r="AN61" s="5">
        <f t="shared" si="22"/>
        <v>240</v>
      </c>
      <c r="AO61" s="30">
        <v>55</v>
      </c>
      <c r="AP61" s="4">
        <v>36</v>
      </c>
      <c r="AQ61" s="4">
        <v>32</v>
      </c>
      <c r="AR61" s="13">
        <v>30</v>
      </c>
      <c r="AS61" s="28">
        <f>AVERAGE(AP61:AR61)</f>
        <v>32.666666666666664</v>
      </c>
      <c r="AT61" s="32">
        <v>54</v>
      </c>
      <c r="AU61" s="32">
        <v>45</v>
      </c>
      <c r="AV61" s="32">
        <v>55</v>
      </c>
      <c r="AW61" s="32">
        <v>35</v>
      </c>
      <c r="AX61" s="32">
        <v>31</v>
      </c>
      <c r="AY61" s="32">
        <v>44</v>
      </c>
      <c r="AZ61" s="33">
        <f t="shared" si="11"/>
        <v>1.4</v>
      </c>
      <c r="BA61" s="34">
        <f t="shared" si="7"/>
        <v>51.333333333333336</v>
      </c>
      <c r="BB61" s="41">
        <f t="shared" si="12"/>
        <v>18.666666666666671</v>
      </c>
      <c r="BC61" s="34">
        <f t="shared" si="13"/>
        <v>-13.299999999999997</v>
      </c>
      <c r="BD61" s="28">
        <f t="shared" si="14"/>
        <v>-0.40714285714285708</v>
      </c>
      <c r="BE61" s="35">
        <f t="shared" si="8"/>
        <v>-2.1212175515290525E-2</v>
      </c>
      <c r="BF61" t="str">
        <f t="shared" si="9"/>
        <v>康师傅控股</v>
      </c>
    </row>
    <row r="62" spans="1:58" ht="16" thickBot="1" x14ac:dyDescent="0.25">
      <c r="A62" s="1" t="s">
        <v>85</v>
      </c>
      <c r="B62" s="37" t="s">
        <v>47</v>
      </c>
      <c r="C62" s="2">
        <v>11.4</v>
      </c>
      <c r="D62" s="22">
        <f>C62*$B$2</f>
        <v>10.43328</v>
      </c>
      <c r="E62" s="4">
        <v>56.34</v>
      </c>
      <c r="F62" s="4">
        <v>2.5299999999999998</v>
      </c>
      <c r="G62" s="5">
        <f t="shared" si="0"/>
        <v>587.81099519999998</v>
      </c>
      <c r="H62" s="51">
        <f>C62/F62</f>
        <v>4.5059288537549413</v>
      </c>
      <c r="I62" s="24">
        <f>0.3314+0.3314</f>
        <v>0.66279999999999994</v>
      </c>
      <c r="J62" s="66">
        <f>F62/F61-1</f>
        <v>2.4291497975708287E-2</v>
      </c>
      <c r="K62" s="26">
        <f>I62/C62</f>
        <v>5.8140350877192978E-2</v>
      </c>
      <c r="L62" s="27">
        <f t="shared" si="2"/>
        <v>0.72425748987854188</v>
      </c>
      <c r="M62" s="27">
        <f t="shared" si="16"/>
        <v>0.66205182818601338</v>
      </c>
      <c r="N62" s="26">
        <f t="shared" si="3"/>
        <v>0.28626778256068852</v>
      </c>
      <c r="O62" s="27">
        <f t="shared" si="17"/>
        <v>0.66205182818601338</v>
      </c>
      <c r="P62" s="72">
        <f>C62*E62/W62</f>
        <v>17.219195710455768</v>
      </c>
      <c r="Q62" s="52">
        <v>807</v>
      </c>
      <c r="R62" s="4">
        <v>540</v>
      </c>
      <c r="S62" s="4">
        <v>63.5</v>
      </c>
      <c r="T62" s="4">
        <v>43.2</v>
      </c>
      <c r="U62" s="4">
        <v>37.299999999999997</v>
      </c>
      <c r="V62" s="29">
        <f t="shared" si="4"/>
        <v>0.86342592592592582</v>
      </c>
      <c r="W62" s="4">
        <v>37.299999999999997</v>
      </c>
      <c r="X62" s="4">
        <v>180</v>
      </c>
      <c r="Y62" s="4">
        <v>28.3</v>
      </c>
      <c r="Z62" s="2">
        <v>0</v>
      </c>
      <c r="AA62" s="4">
        <v>4.2</v>
      </c>
      <c r="AB62" s="4">
        <f>94+6.7</f>
        <v>100.7</v>
      </c>
      <c r="AC62" s="4">
        <v>16</v>
      </c>
      <c r="AD62" s="4">
        <v>40</v>
      </c>
      <c r="AE62" s="4">
        <v>12.4</v>
      </c>
      <c r="AF62" s="4">
        <v>81</v>
      </c>
      <c r="AG62" s="4"/>
      <c r="AH62" s="4">
        <v>117</v>
      </c>
      <c r="AI62" s="4">
        <v>17.8</v>
      </c>
      <c r="AJ62" s="4">
        <v>531</v>
      </c>
      <c r="AK62" s="4">
        <v>176</v>
      </c>
      <c r="AL62" s="4">
        <v>352</v>
      </c>
      <c r="AM62" s="4">
        <v>324</v>
      </c>
      <c r="AN62" s="5">
        <f t="shared" si="22"/>
        <v>207</v>
      </c>
      <c r="AO62" s="30">
        <v>82.6</v>
      </c>
      <c r="AP62" s="4">
        <v>36</v>
      </c>
      <c r="AQ62" s="4">
        <v>36</v>
      </c>
      <c r="AR62" s="13">
        <v>32</v>
      </c>
      <c r="AS62" s="28">
        <f t="shared" si="6"/>
        <v>34.666666666666664</v>
      </c>
      <c r="AT62" s="32">
        <v>83</v>
      </c>
      <c r="AU62" s="32">
        <v>55</v>
      </c>
      <c r="AV62" s="32">
        <v>45</v>
      </c>
      <c r="AW62" s="32">
        <v>43</v>
      </c>
      <c r="AX62" s="32">
        <v>35</v>
      </c>
      <c r="AY62" s="32">
        <v>31</v>
      </c>
      <c r="AZ62" s="33">
        <f t="shared" si="11"/>
        <v>1.6788990825688073</v>
      </c>
      <c r="BA62" s="34">
        <f t="shared" si="7"/>
        <v>61</v>
      </c>
      <c r="BB62" s="41">
        <f t="shared" si="12"/>
        <v>26.333333333333336</v>
      </c>
      <c r="BC62" s="34">
        <f t="shared" si="13"/>
        <v>-21.699999999999992</v>
      </c>
      <c r="BD62" s="28">
        <f t="shared" si="14"/>
        <v>-0.62596153846153824</v>
      </c>
      <c r="BE62" s="35">
        <f t="shared" si="8"/>
        <v>-3.691662826520737E-2</v>
      </c>
      <c r="BF62" t="str">
        <f t="shared" si="9"/>
        <v>康师傅控股</v>
      </c>
    </row>
    <row r="63" spans="1:58" x14ac:dyDescent="0.2">
      <c r="A63" s="1" t="s">
        <v>86</v>
      </c>
      <c r="B63" s="2" t="s">
        <v>46</v>
      </c>
      <c r="C63" s="2"/>
      <c r="D63" s="22">
        <f>333.4/7.8</f>
        <v>42.743589743589745</v>
      </c>
      <c r="E63" s="4">
        <v>3.86</v>
      </c>
      <c r="F63" s="4">
        <f>118.78/7.8</f>
        <v>15.228205128205129</v>
      </c>
      <c r="G63" s="5">
        <f t="shared" si="0"/>
        <v>164.99025641025642</v>
      </c>
      <c r="H63" s="5">
        <f t="shared" ref="H63:H71" si="25">D63/F63</f>
        <v>2.8068698434079811</v>
      </c>
      <c r="I63" s="24">
        <v>0.55000000000000004</v>
      </c>
      <c r="J63" s="66">
        <v>0.03</v>
      </c>
      <c r="K63" s="26">
        <f>I63/D63</f>
        <v>1.2867426514697061E-2</v>
      </c>
      <c r="L63" s="27">
        <f t="shared" si="2"/>
        <v>1.0068461538461539</v>
      </c>
      <c r="M63" s="27">
        <f t="shared" si="16"/>
        <v>2.1424870466321244</v>
      </c>
      <c r="N63" s="26">
        <f t="shared" si="3"/>
        <v>6.6117191446371446E-2</v>
      </c>
      <c r="O63" s="27">
        <f t="shared" si="17"/>
        <v>2.1424870466321244</v>
      </c>
      <c r="P63" s="28">
        <f t="shared" ref="P63:P78" si="26">D63*E63/W63</f>
        <v>19.95045422131275</v>
      </c>
      <c r="Q63" s="4">
        <v>110</v>
      </c>
      <c r="R63" s="4">
        <v>87</v>
      </c>
      <c r="S63" s="4">
        <v>12.3</v>
      </c>
      <c r="T63" s="4">
        <v>9</v>
      </c>
      <c r="U63" s="4">
        <v>8.27</v>
      </c>
      <c r="V63" s="29">
        <f t="shared" si="4"/>
        <v>0.91888888888888887</v>
      </c>
      <c r="W63" s="4">
        <v>8.27</v>
      </c>
      <c r="X63" s="4">
        <v>0</v>
      </c>
      <c r="Y63" s="4">
        <v>10.3</v>
      </c>
      <c r="Z63" s="2">
        <v>0</v>
      </c>
      <c r="AA63" s="4">
        <v>0</v>
      </c>
      <c r="AB63" s="4">
        <v>29.3</v>
      </c>
      <c r="AC63" s="4">
        <v>26</v>
      </c>
      <c r="AD63" s="4">
        <v>40</v>
      </c>
      <c r="AE63" s="4">
        <v>12.4</v>
      </c>
      <c r="AF63" s="4">
        <v>81</v>
      </c>
      <c r="AG63" s="4"/>
      <c r="AH63" s="4">
        <v>117</v>
      </c>
      <c r="AI63" s="4">
        <v>17.8</v>
      </c>
      <c r="AJ63" s="4">
        <v>532</v>
      </c>
      <c r="AK63" s="4">
        <v>71.2</v>
      </c>
      <c r="AL63" s="4">
        <v>84</v>
      </c>
      <c r="AM63" s="4">
        <v>23</v>
      </c>
      <c r="AN63" s="5">
        <f t="shared" si="22"/>
        <v>509</v>
      </c>
      <c r="AO63" s="30">
        <v>14.73</v>
      </c>
      <c r="AP63" s="4">
        <v>0</v>
      </c>
      <c r="AQ63" s="4">
        <v>0</v>
      </c>
      <c r="AR63" s="4">
        <v>0</v>
      </c>
      <c r="AS63" s="28">
        <f t="shared" si="6"/>
        <v>0</v>
      </c>
      <c r="AT63" s="32">
        <v>11.3</v>
      </c>
      <c r="AU63" s="32">
        <v>14.1</v>
      </c>
      <c r="AV63" s="32">
        <v>14.7</v>
      </c>
      <c r="AW63" s="32">
        <v>13.9</v>
      </c>
      <c r="AX63" s="32">
        <v>6.85</v>
      </c>
      <c r="AY63" s="32">
        <v>12.3</v>
      </c>
      <c r="AZ63" s="33">
        <f t="shared" si="11"/>
        <v>1.2133131618759454</v>
      </c>
      <c r="BA63" s="34">
        <f t="shared" si="7"/>
        <v>13.366666666666665</v>
      </c>
      <c r="BB63" s="41">
        <f t="shared" si="12"/>
        <v>13.366666666666665</v>
      </c>
      <c r="BC63" s="34">
        <f t="shared" si="13"/>
        <v>-93.1</v>
      </c>
      <c r="BD63" s="28"/>
      <c r="BE63" s="35">
        <f t="shared" si="8"/>
        <v>-0.56427574588709195</v>
      </c>
      <c r="BF63" t="str">
        <f t="shared" si="9"/>
        <v>百胜中国</v>
      </c>
    </row>
    <row r="64" spans="1:58" x14ac:dyDescent="0.2">
      <c r="A64" s="1" t="s">
        <v>87</v>
      </c>
      <c r="B64" s="2" t="s">
        <v>46</v>
      </c>
      <c r="C64" s="2">
        <v>14.4</v>
      </c>
      <c r="D64" s="22">
        <f t="shared" ref="D64:D82" si="27">C64*$B$2</f>
        <v>13.178880000000001</v>
      </c>
      <c r="E64" s="4">
        <v>41.98</v>
      </c>
      <c r="F64" s="4">
        <f>25.01*B2</f>
        <v>22.889152000000003</v>
      </c>
      <c r="G64" s="5">
        <f t="shared" si="0"/>
        <v>553.24938240000006</v>
      </c>
      <c r="H64" s="5">
        <f t="shared" si="25"/>
        <v>0.57576969212315077</v>
      </c>
      <c r="I64" s="24">
        <v>0.71</v>
      </c>
      <c r="J64" s="66">
        <v>-0.05</v>
      </c>
      <c r="K64" s="26">
        <f t="shared" ref="K64:K78" si="28">I64/C64</f>
        <v>4.9305555555555554E-2</v>
      </c>
      <c r="L64" s="27">
        <f t="shared" si="2"/>
        <v>-0.43445760000000022</v>
      </c>
      <c r="M64" s="27">
        <f t="shared" si="16"/>
        <v>1.5245354930919486</v>
      </c>
      <c r="N64" s="26">
        <f t="shared" si="3"/>
        <v>-1.8980939092894319E-2</v>
      </c>
      <c r="O64" s="27">
        <f t="shared" si="17"/>
        <v>1.5302525011910433</v>
      </c>
      <c r="P64" s="28">
        <f t="shared" si="26"/>
        <v>8.6445216000000009</v>
      </c>
      <c r="Q64" s="4">
        <v>115</v>
      </c>
      <c r="R64" s="4">
        <v>63.3</v>
      </c>
      <c r="S64" s="4">
        <v>28.2</v>
      </c>
      <c r="T64" s="4">
        <v>73.900000000000006</v>
      </c>
      <c r="U64" s="4">
        <v>64.239999999999995</v>
      </c>
      <c r="V64" s="29">
        <f t="shared" si="4"/>
        <v>0.86928281461434354</v>
      </c>
      <c r="W64" s="4">
        <v>64</v>
      </c>
      <c r="X64" s="4">
        <v>0</v>
      </c>
      <c r="Y64" s="4">
        <v>15</v>
      </c>
      <c r="Z64" s="2">
        <v>0</v>
      </c>
      <c r="AA64" s="4">
        <v>17.7</v>
      </c>
      <c r="AB64" s="4">
        <v>157</v>
      </c>
      <c r="AC64" s="4">
        <v>8.4</v>
      </c>
      <c r="AD64" s="4">
        <v>1.87</v>
      </c>
      <c r="AE64" s="4">
        <v>950</v>
      </c>
      <c r="AF64" s="4">
        <v>3.6</v>
      </c>
      <c r="AG64" s="4"/>
      <c r="AH64" s="4">
        <v>161.5</v>
      </c>
      <c r="AI64" s="4">
        <v>213</v>
      </c>
      <c r="AJ64" s="4">
        <v>1723</v>
      </c>
      <c r="AK64" s="4">
        <v>1208</v>
      </c>
      <c r="AL64" s="4">
        <v>1529</v>
      </c>
      <c r="AM64" s="4">
        <v>241</v>
      </c>
      <c r="AN64" s="5">
        <f t="shared" si="22"/>
        <v>1482</v>
      </c>
      <c r="AO64" s="30">
        <v>72.400000000000006</v>
      </c>
      <c r="AP64" s="4">
        <v>13</v>
      </c>
      <c r="AQ64" s="4">
        <v>15</v>
      </c>
      <c r="AR64" s="4">
        <v>18</v>
      </c>
      <c r="AS64" s="28">
        <f t="shared" si="6"/>
        <v>15.333333333333334</v>
      </c>
      <c r="AT64" s="32">
        <v>88</v>
      </c>
      <c r="AU64" s="32">
        <v>88</v>
      </c>
      <c r="AV64" s="32">
        <v>72</v>
      </c>
      <c r="AW64" s="32">
        <v>84</v>
      </c>
      <c r="AX64" s="32">
        <v>80</v>
      </c>
      <c r="AY64" s="32">
        <v>64</v>
      </c>
      <c r="AZ64" s="33">
        <f t="shared" si="11"/>
        <v>1.0877192982456141</v>
      </c>
      <c r="BA64" s="34">
        <f t="shared" si="7"/>
        <v>82.666666666666671</v>
      </c>
      <c r="BB64" s="41">
        <f t="shared" si="12"/>
        <v>67.333333333333343</v>
      </c>
      <c r="BC64" s="34">
        <f t="shared" si="13"/>
        <v>732.5</v>
      </c>
      <c r="BD64" s="28">
        <f t="shared" si="14"/>
        <v>47.771739130434781</v>
      </c>
      <c r="BE64" s="35">
        <f t="shared" si="8"/>
        <v>1.3239960554902193</v>
      </c>
      <c r="BF64" t="str">
        <f t="shared" si="9"/>
        <v>招商局港口</v>
      </c>
    </row>
    <row r="65" spans="1:58" x14ac:dyDescent="0.2">
      <c r="A65" s="1" t="s">
        <v>88</v>
      </c>
      <c r="B65" s="2" t="s">
        <v>46</v>
      </c>
      <c r="C65" s="2">
        <v>4.95</v>
      </c>
      <c r="D65" s="22">
        <f t="shared" si="27"/>
        <v>4.53024</v>
      </c>
      <c r="E65" s="4">
        <v>36.72</v>
      </c>
      <c r="F65" s="4">
        <f>12.41*B2</f>
        <v>11.357632000000001</v>
      </c>
      <c r="G65" s="5">
        <f t="shared" si="0"/>
        <v>166.35041279999999</v>
      </c>
      <c r="H65" s="5">
        <f t="shared" si="25"/>
        <v>0.39887187751813052</v>
      </c>
      <c r="I65" s="24">
        <v>0.27700000000000002</v>
      </c>
      <c r="J65" s="66">
        <v>-0.04</v>
      </c>
      <c r="K65" s="26">
        <f t="shared" si="28"/>
        <v>5.5959595959595959E-2</v>
      </c>
      <c r="L65" s="27">
        <f t="shared" si="2"/>
        <v>-0.17730528000000001</v>
      </c>
      <c r="M65" s="27">
        <f t="shared" si="16"/>
        <v>8.8507625272331164E-2</v>
      </c>
      <c r="N65" s="26">
        <f t="shared" si="3"/>
        <v>-1.5611113302491224E-2</v>
      </c>
      <c r="O65" s="27">
        <f t="shared" si="17"/>
        <v>8.8507625272331164E-2</v>
      </c>
      <c r="P65" s="28">
        <f t="shared" si="26"/>
        <v>51.184742399999998</v>
      </c>
      <c r="Q65" s="4">
        <v>14.54</v>
      </c>
      <c r="R65" s="4">
        <v>10.33</v>
      </c>
      <c r="S65" s="4">
        <v>1.32</v>
      </c>
      <c r="T65" s="4">
        <v>3.94</v>
      </c>
      <c r="U65" s="4">
        <v>3.25</v>
      </c>
      <c r="V65" s="29">
        <f t="shared" si="4"/>
        <v>0.82487309644670048</v>
      </c>
      <c r="W65" s="4">
        <v>3.25</v>
      </c>
      <c r="X65" s="4">
        <v>0</v>
      </c>
      <c r="Y65" s="4">
        <v>1.65</v>
      </c>
      <c r="Z65" s="2">
        <v>0</v>
      </c>
      <c r="AA65" s="4">
        <v>1.71</v>
      </c>
      <c r="AB65" s="4">
        <v>12.1</v>
      </c>
      <c r="AC65" s="4">
        <v>1.17</v>
      </c>
      <c r="AD65" s="4">
        <v>0.2</v>
      </c>
      <c r="AE65" s="4">
        <v>46</v>
      </c>
      <c r="AF65" s="4">
        <v>0.9</v>
      </c>
      <c r="AG65" s="4"/>
      <c r="AH65" s="4">
        <v>3.9</v>
      </c>
      <c r="AI65" s="4">
        <v>30.4</v>
      </c>
      <c r="AJ65" s="4">
        <v>119</v>
      </c>
      <c r="AK65" s="4">
        <v>68.400000000000006</v>
      </c>
      <c r="AL65" s="4">
        <v>108</v>
      </c>
      <c r="AM65" s="4">
        <v>11.3</v>
      </c>
      <c r="AN65" s="5">
        <f t="shared" si="22"/>
        <v>107.7</v>
      </c>
      <c r="AO65" s="30">
        <v>4.82</v>
      </c>
      <c r="AP65" s="4">
        <v>3.5</v>
      </c>
      <c r="AQ65" s="4">
        <v>3.3</v>
      </c>
      <c r="AR65" s="4">
        <v>3.8</v>
      </c>
      <c r="AS65" s="28">
        <f t="shared" si="6"/>
        <v>3.5333333333333332</v>
      </c>
      <c r="AT65" s="32">
        <v>4.0999999999999996</v>
      </c>
      <c r="AU65" s="32">
        <v>4.68</v>
      </c>
      <c r="AV65" s="32">
        <v>4.82</v>
      </c>
      <c r="AW65" s="32">
        <v>3.55</v>
      </c>
      <c r="AX65" s="32">
        <v>3.05</v>
      </c>
      <c r="AY65" s="32">
        <v>3.25</v>
      </c>
      <c r="AZ65" s="33">
        <f t="shared" si="11"/>
        <v>1.3807106598984771</v>
      </c>
      <c r="BA65" s="34">
        <f t="shared" si="7"/>
        <v>4.5333333333333332</v>
      </c>
      <c r="BB65" s="41">
        <f t="shared" si="12"/>
        <v>1</v>
      </c>
      <c r="BC65" s="34">
        <f t="shared" si="13"/>
        <v>23.800000000000004</v>
      </c>
      <c r="BD65" s="28">
        <f t="shared" si="14"/>
        <v>6.735849056603775</v>
      </c>
      <c r="BE65" s="35">
        <f t="shared" si="8"/>
        <v>0.14307148145531987</v>
      </c>
      <c r="BF65" t="str">
        <f t="shared" si="9"/>
        <v>中远海运港口</v>
      </c>
    </row>
    <row r="66" spans="1:58" x14ac:dyDescent="0.2">
      <c r="A66" s="1" t="s">
        <v>89</v>
      </c>
      <c r="B66" s="2" t="s">
        <v>46</v>
      </c>
      <c r="C66" s="2">
        <v>14.62</v>
      </c>
      <c r="D66" s="22">
        <f t="shared" si="27"/>
        <v>13.380224</v>
      </c>
      <c r="E66" s="4">
        <v>14.22</v>
      </c>
      <c r="F66" s="4">
        <v>8.08</v>
      </c>
      <c r="G66" s="5">
        <f t="shared" si="0"/>
        <v>190.26678528000002</v>
      </c>
      <c r="H66" s="5">
        <f t="shared" si="25"/>
        <v>1.6559683168316832</v>
      </c>
      <c r="I66" s="24">
        <v>0.82</v>
      </c>
      <c r="J66" s="66">
        <v>0.33</v>
      </c>
      <c r="K66" s="26">
        <f t="shared" si="28"/>
        <v>5.6087551299589603E-2</v>
      </c>
      <c r="L66" s="27">
        <f t="shared" si="2"/>
        <v>3.4864000000000002</v>
      </c>
      <c r="M66" s="27">
        <f t="shared" si="16"/>
        <v>0.2932489451476793</v>
      </c>
      <c r="N66" s="26">
        <f t="shared" si="3"/>
        <v>0.43148514851485148</v>
      </c>
      <c r="O66" s="27">
        <f t="shared" si="17"/>
        <v>0.2932489451476793</v>
      </c>
      <c r="P66" s="28">
        <f t="shared" si="26"/>
        <v>45.62752644604317</v>
      </c>
      <c r="Q66" s="4">
        <v>36.799999999999997</v>
      </c>
      <c r="R66" s="4">
        <v>15</v>
      </c>
      <c r="S66" s="4">
        <v>5.85</v>
      </c>
      <c r="T66" s="4">
        <v>4.5</v>
      </c>
      <c r="U66" s="4">
        <v>4.17</v>
      </c>
      <c r="V66" s="29">
        <f t="shared" si="4"/>
        <v>0.92666666666666664</v>
      </c>
      <c r="W66" s="4">
        <v>4.17</v>
      </c>
      <c r="X66" s="4">
        <v>12.69</v>
      </c>
      <c r="Y66" s="4">
        <v>2.5</v>
      </c>
      <c r="Z66" s="2">
        <v>0</v>
      </c>
      <c r="AA66" s="4">
        <v>1.73</v>
      </c>
      <c r="AB66" s="4">
        <v>7.17</v>
      </c>
      <c r="AC66" s="4">
        <v>3.04</v>
      </c>
      <c r="AD66" s="4">
        <v>6.96</v>
      </c>
      <c r="AE66" s="4">
        <v>0</v>
      </c>
      <c r="AF66" s="4">
        <v>5</v>
      </c>
      <c r="AG66" s="4"/>
      <c r="AH66" s="4">
        <v>2.08</v>
      </c>
      <c r="AI66" s="4">
        <v>20.88</v>
      </c>
      <c r="AJ66" s="4">
        <v>51</v>
      </c>
      <c r="AK66" s="4">
        <v>14.51</v>
      </c>
      <c r="AL66" s="4">
        <v>33.4</v>
      </c>
      <c r="AM66" s="4">
        <v>10.9</v>
      </c>
      <c r="AN66" s="5">
        <f t="shared" si="22"/>
        <v>40.1</v>
      </c>
      <c r="AO66" s="30">
        <v>5.65</v>
      </c>
      <c r="AP66" s="4">
        <v>1.1000000000000001</v>
      </c>
      <c r="AQ66" s="4">
        <v>1.1000000000000001</v>
      </c>
      <c r="AR66" s="4">
        <v>0.6</v>
      </c>
      <c r="AS66" s="28">
        <f t="shared" si="6"/>
        <v>0.93333333333333346</v>
      </c>
      <c r="AT66" s="32">
        <v>3.87</v>
      </c>
      <c r="AU66" s="32">
        <v>2.76</v>
      </c>
      <c r="AV66" s="32">
        <v>5.34</v>
      </c>
      <c r="AW66" s="32">
        <v>0.14000000000000001</v>
      </c>
      <c r="AX66" s="32">
        <v>3.13</v>
      </c>
      <c r="AY66" s="32">
        <v>4.17</v>
      </c>
      <c r="AZ66" s="33">
        <f t="shared" si="11"/>
        <v>1.6088709677419355</v>
      </c>
      <c r="BA66" s="34">
        <f t="shared" si="7"/>
        <v>3.9899999999999998</v>
      </c>
      <c r="BB66" s="41">
        <f t="shared" si="12"/>
        <v>3.0566666666666662</v>
      </c>
      <c r="BC66" s="34">
        <f t="shared" si="13"/>
        <v>-15.79</v>
      </c>
      <c r="BD66" s="28">
        <f t="shared" si="14"/>
        <v>-16.917857142857141</v>
      </c>
      <c r="BE66" s="35">
        <f t="shared" si="8"/>
        <v>-8.2988735930778199E-2</v>
      </c>
      <c r="BF66" t="str">
        <f t="shared" si="9"/>
        <v>新秀丽</v>
      </c>
    </row>
    <row r="67" spans="1:58" x14ac:dyDescent="0.2">
      <c r="A67" s="53" t="s">
        <v>90</v>
      </c>
      <c r="B67" s="2" t="s">
        <v>46</v>
      </c>
      <c r="C67" s="2">
        <v>1.25</v>
      </c>
      <c r="D67" s="22">
        <f t="shared" si="27"/>
        <v>1.1440000000000001</v>
      </c>
      <c r="E67" s="4">
        <v>38.93</v>
      </c>
      <c r="F67" s="4">
        <v>3.27</v>
      </c>
      <c r="G67" s="5">
        <f>D67*E67</f>
        <v>44.535920000000004</v>
      </c>
      <c r="H67" s="5">
        <f>D67/F67</f>
        <v>0.34984709480122328</v>
      </c>
      <c r="I67" s="24">
        <v>0</v>
      </c>
      <c r="J67" s="66">
        <v>-0.1</v>
      </c>
      <c r="K67" s="26">
        <f t="shared" si="28"/>
        <v>0</v>
      </c>
      <c r="L67" s="27">
        <f t="shared" ref="L67:L78" si="29">I67+F67*J67</f>
        <v>-0.32700000000000001</v>
      </c>
      <c r="M67" s="27">
        <f t="shared" si="16"/>
        <v>-0.26971487284870282</v>
      </c>
      <c r="N67" s="26">
        <f t="shared" ref="N67:N78" si="30">L67/F67</f>
        <v>-0.1</v>
      </c>
      <c r="O67" s="27">
        <f t="shared" si="17"/>
        <v>-0.26971487284870282</v>
      </c>
      <c r="P67" s="28">
        <f t="shared" si="26"/>
        <v>-4.2415161904761911</v>
      </c>
      <c r="Q67" s="4">
        <v>187</v>
      </c>
      <c r="R67" s="4">
        <v>175</v>
      </c>
      <c r="S67" s="4">
        <v>-12.14</v>
      </c>
      <c r="T67" s="4">
        <v>-14.53</v>
      </c>
      <c r="U67" s="4">
        <v>-10.5</v>
      </c>
      <c r="V67" s="29">
        <f>U67/T67</f>
        <v>0.72264280798348246</v>
      </c>
      <c r="W67" s="4">
        <v>-10.5</v>
      </c>
      <c r="X67" s="4">
        <v>6.2</v>
      </c>
      <c r="Y67" s="4">
        <v>7.78</v>
      </c>
      <c r="Z67" s="2">
        <v>0</v>
      </c>
      <c r="AA67" s="4">
        <v>10.83</v>
      </c>
      <c r="AB67" s="4">
        <v>40.700000000000003</v>
      </c>
      <c r="AC67" s="4">
        <v>7.96</v>
      </c>
      <c r="AD67" s="4">
        <v>45.05</v>
      </c>
      <c r="AE67" s="4">
        <v>10.7</v>
      </c>
      <c r="AF67" s="4">
        <v>21.1</v>
      </c>
      <c r="AG67" s="4"/>
      <c r="AH67" s="4">
        <v>166.54</v>
      </c>
      <c r="AI67" s="4">
        <v>114.28</v>
      </c>
      <c r="AJ67" s="4">
        <v>462</v>
      </c>
      <c r="AK67" s="4">
        <v>131</v>
      </c>
      <c r="AL67" s="4">
        <v>348</v>
      </c>
      <c r="AM67" s="4">
        <v>209</v>
      </c>
      <c r="AN67" s="5">
        <f t="shared" si="22"/>
        <v>253</v>
      </c>
      <c r="AO67" s="30">
        <v>65</v>
      </c>
      <c r="AP67" s="4">
        <v>29</v>
      </c>
      <c r="AQ67" s="4">
        <v>87</v>
      </c>
      <c r="AR67" s="4"/>
      <c r="AS67" s="28">
        <f>AVERAGE(AP67:AR67)</f>
        <v>58</v>
      </c>
      <c r="AT67" s="32">
        <v>22.66</v>
      </c>
      <c r="AU67" s="32">
        <v>25.48</v>
      </c>
      <c r="AV67" s="32">
        <v>43.9</v>
      </c>
      <c r="AW67" s="32">
        <v>15.6</v>
      </c>
      <c r="AX67" s="32">
        <v>4.1500000000000004</v>
      </c>
      <c r="AY67" s="32">
        <v>-10.5</v>
      </c>
      <c r="AZ67" s="33">
        <f t="shared" si="11"/>
        <v>9.9502702702702699</v>
      </c>
      <c r="BA67" s="34">
        <f t="shared" ref="BA67:BA78" si="31">AVERAGE(AT67:AV67)</f>
        <v>30.679999999999996</v>
      </c>
      <c r="BB67" s="41">
        <f t="shared" si="12"/>
        <v>-27.320000000000004</v>
      </c>
      <c r="BC67" s="34">
        <f t="shared" si="13"/>
        <v>-229.42</v>
      </c>
      <c r="BD67" s="28">
        <f t="shared" si="14"/>
        <v>-3.9555172413793103</v>
      </c>
      <c r="BE67" s="35">
        <f t="shared" ref="BE67:BE78" si="32">BC67/G67</f>
        <v>-5.1513474965825328</v>
      </c>
      <c r="BF67" t="str">
        <f t="shared" ref="BF67:BF78" si="33">A67</f>
        <v>悠然牧业</v>
      </c>
    </row>
    <row r="68" spans="1:58" x14ac:dyDescent="0.2">
      <c r="A68" s="1" t="s">
        <v>90</v>
      </c>
      <c r="B68" s="37" t="s">
        <v>91</v>
      </c>
      <c r="C68" s="67">
        <v>3</v>
      </c>
      <c r="D68" s="22">
        <f t="shared" si="27"/>
        <v>2.7456</v>
      </c>
      <c r="E68" s="4">
        <v>38.93</v>
      </c>
      <c r="F68" s="4">
        <v>3.1</v>
      </c>
      <c r="G68" s="5">
        <f t="shared" ref="G68:G78" si="34">D68*E68</f>
        <v>106.886208</v>
      </c>
      <c r="H68" s="5">
        <f>C68/F68</f>
        <v>0.96774193548387089</v>
      </c>
      <c r="I68" s="24">
        <v>0</v>
      </c>
      <c r="J68" s="66">
        <v>-7.0000000000000007E-2</v>
      </c>
      <c r="K68" s="26">
        <f t="shared" si="28"/>
        <v>0</v>
      </c>
      <c r="L68" s="27">
        <f t="shared" si="29"/>
        <v>-0.21700000000000003</v>
      </c>
      <c r="M68" s="27">
        <f t="shared" si="16"/>
        <v>-0.15412278448497302</v>
      </c>
      <c r="N68" s="26">
        <f t="shared" si="30"/>
        <v>-7.0000000000000007E-2</v>
      </c>
      <c r="O68" s="27">
        <f t="shared" si="17"/>
        <v>-0.15412278448497302</v>
      </c>
      <c r="P68" s="28">
        <f t="shared" si="26"/>
        <v>-17.814367999999998</v>
      </c>
      <c r="Q68" s="4">
        <f>201*1.023</f>
        <v>205.62299999999999</v>
      </c>
      <c r="R68" s="4">
        <f>175*1.04</f>
        <v>182</v>
      </c>
      <c r="S68" s="4">
        <v>-3.6</v>
      </c>
      <c r="T68" s="4">
        <v>-5</v>
      </c>
      <c r="U68" s="4">
        <v>-6</v>
      </c>
      <c r="V68" s="29">
        <f t="shared" ref="V68:V78" si="35">U68/T68</f>
        <v>1.2</v>
      </c>
      <c r="W68" s="4">
        <v>-6</v>
      </c>
      <c r="X68" s="4">
        <v>6</v>
      </c>
      <c r="Y68" s="4">
        <v>8</v>
      </c>
      <c r="Z68" s="2">
        <v>0</v>
      </c>
      <c r="AA68" s="4">
        <v>8</v>
      </c>
      <c r="AB68" s="4">
        <v>20.63</v>
      </c>
      <c r="AC68" s="4">
        <v>7.55</v>
      </c>
      <c r="AD68" s="4">
        <v>29.5</v>
      </c>
      <c r="AE68" s="4">
        <v>8.6999999999999993</v>
      </c>
      <c r="AF68" s="4">
        <v>12.67</v>
      </c>
      <c r="AG68" s="4"/>
      <c r="AH68" s="4">
        <v>176</v>
      </c>
      <c r="AI68" s="4">
        <v>92</v>
      </c>
      <c r="AJ68" s="4">
        <v>423</v>
      </c>
      <c r="AK68" s="4">
        <v>119</v>
      </c>
      <c r="AL68" s="4">
        <v>344</v>
      </c>
      <c r="AM68" s="4">
        <v>202</v>
      </c>
      <c r="AN68" s="5">
        <f t="shared" si="22"/>
        <v>221</v>
      </c>
      <c r="AO68" s="30">
        <v>58</v>
      </c>
      <c r="AP68" s="4">
        <v>17</v>
      </c>
      <c r="AQ68" s="4">
        <v>29</v>
      </c>
      <c r="AR68" s="4">
        <v>87</v>
      </c>
      <c r="AS68" s="28">
        <f t="shared" ref="AS68:AS78" si="36">AVERAGE(AP68:AR68)</f>
        <v>44.333333333333336</v>
      </c>
      <c r="AT68" s="32">
        <v>44</v>
      </c>
      <c r="AU68" s="32">
        <v>25.48</v>
      </c>
      <c r="AV68" s="32">
        <v>58</v>
      </c>
      <c r="AW68" s="32">
        <v>-8.6</v>
      </c>
      <c r="AX68" s="32">
        <v>-14.5</v>
      </c>
      <c r="AY68" s="32">
        <v>4</v>
      </c>
      <c r="AZ68" s="33">
        <f t="shared" si="11"/>
        <v>-6.67434554973822</v>
      </c>
      <c r="BA68" s="34">
        <f t="shared" si="31"/>
        <v>42.493333333333332</v>
      </c>
      <c r="BB68" s="41">
        <f t="shared" si="12"/>
        <v>-1.8400000000000034</v>
      </c>
      <c r="BC68" s="34">
        <f t="shared" si="13"/>
        <v>-238.67000000000002</v>
      </c>
      <c r="BD68" s="28">
        <f t="shared" si="14"/>
        <v>-5.3835338345864665</v>
      </c>
      <c r="BE68" s="35">
        <f t="shared" si="32"/>
        <v>-2.232935422313794</v>
      </c>
      <c r="BF68" t="str">
        <f t="shared" si="33"/>
        <v>悠然牧业</v>
      </c>
    </row>
    <row r="69" spans="1:58" x14ac:dyDescent="0.2">
      <c r="A69" s="1" t="s">
        <v>92</v>
      </c>
      <c r="B69" s="73" t="s">
        <v>47</v>
      </c>
      <c r="C69" s="2">
        <v>33.159999999999997</v>
      </c>
      <c r="D69" s="22">
        <f t="shared" si="27"/>
        <v>30.348031999999996</v>
      </c>
      <c r="E69" s="4">
        <v>15.55</v>
      </c>
      <c r="F69" s="4">
        <v>17.96</v>
      </c>
      <c r="G69" s="5">
        <f t="shared" si="34"/>
        <v>471.91189759999997</v>
      </c>
      <c r="H69" s="5">
        <f>C69/F69</f>
        <v>1.8463251670378615</v>
      </c>
      <c r="I69" s="24">
        <v>0</v>
      </c>
      <c r="J69" s="66">
        <v>0.1</v>
      </c>
      <c r="K69" s="26">
        <f t="shared" si="28"/>
        <v>0</v>
      </c>
      <c r="L69" s="27">
        <f t="shared" si="29"/>
        <v>1.7960000000000003</v>
      </c>
      <c r="M69" s="27">
        <f t="shared" si="16"/>
        <v>2.1864951768488745</v>
      </c>
      <c r="N69" s="26">
        <f t="shared" si="30"/>
        <v>0.1</v>
      </c>
      <c r="O69" s="27">
        <f t="shared" si="17"/>
        <v>2.1864951768488745</v>
      </c>
      <c r="P69" s="28">
        <f t="shared" si="26"/>
        <v>13.879761694117647</v>
      </c>
      <c r="Q69" s="4">
        <v>103</v>
      </c>
      <c r="R69" s="4">
        <v>81</v>
      </c>
      <c r="S69" s="4">
        <v>38.6</v>
      </c>
      <c r="T69" s="4">
        <v>33</v>
      </c>
      <c r="U69" s="4">
        <v>34</v>
      </c>
      <c r="V69" s="29">
        <f t="shared" si="35"/>
        <v>1.0303030303030303</v>
      </c>
      <c r="W69" s="4">
        <v>34</v>
      </c>
      <c r="X69" s="4">
        <v>1.1599999999999999</v>
      </c>
      <c r="Y69" s="4">
        <v>9.18</v>
      </c>
      <c r="Z69" s="2">
        <v>0.4</v>
      </c>
      <c r="AA69" s="4">
        <v>19.25</v>
      </c>
      <c r="AB69" s="4">
        <v>79</v>
      </c>
      <c r="AC69" s="4">
        <v>30</v>
      </c>
      <c r="AD69" s="4">
        <v>0</v>
      </c>
      <c r="AE69" s="4">
        <v>75.45</v>
      </c>
      <c r="AF69" s="4">
        <v>26</v>
      </c>
      <c r="AG69" s="4"/>
      <c r="AH69" s="4">
        <v>51</v>
      </c>
      <c r="AI69" s="4">
        <v>394</v>
      </c>
      <c r="AJ69" s="4">
        <v>736</v>
      </c>
      <c r="AK69" s="4">
        <v>237</v>
      </c>
      <c r="AL69" s="4">
        <v>620</v>
      </c>
      <c r="AM69" s="4">
        <v>91</v>
      </c>
      <c r="AN69" s="5">
        <f t="shared" si="22"/>
        <v>645</v>
      </c>
      <c r="AO69" s="30">
        <v>19.399999999999999</v>
      </c>
      <c r="AP69" s="4"/>
      <c r="AQ69" s="4"/>
      <c r="AR69" s="4"/>
      <c r="AS69" s="74">
        <v>32</v>
      </c>
      <c r="AT69" s="32"/>
      <c r="AU69" s="32"/>
      <c r="AV69" s="32"/>
      <c r="AW69" s="32"/>
      <c r="AX69" s="32"/>
      <c r="AY69" s="32"/>
      <c r="AZ69" s="75">
        <v>1</v>
      </c>
      <c r="BA69" s="40">
        <v>20</v>
      </c>
      <c r="BB69" s="41">
        <f t="shared" si="12"/>
        <v>-12</v>
      </c>
      <c r="BC69" s="34">
        <f t="shared" si="13"/>
        <v>-290.55</v>
      </c>
      <c r="BD69" s="28">
        <f t="shared" si="14"/>
        <v>-9.0796875000000004</v>
      </c>
      <c r="BE69" s="35">
        <f t="shared" si="32"/>
        <v>-0.61568695656466543</v>
      </c>
      <c r="BF69" t="str">
        <f t="shared" si="33"/>
        <v>万国数据</v>
      </c>
    </row>
    <row r="70" spans="1:58" x14ac:dyDescent="0.2">
      <c r="A70" s="53" t="s">
        <v>93</v>
      </c>
      <c r="B70" s="2" t="s">
        <v>46</v>
      </c>
      <c r="C70" s="2">
        <v>1.73</v>
      </c>
      <c r="D70" s="22">
        <f t="shared" si="27"/>
        <v>1.583296</v>
      </c>
      <c r="E70" s="4">
        <v>50.45</v>
      </c>
      <c r="F70" s="4">
        <v>10.130000000000001</v>
      </c>
      <c r="G70" s="5">
        <f>D70*E70</f>
        <v>79.877283200000008</v>
      </c>
      <c r="H70" s="5">
        <f>D70/F70</f>
        <v>0.15629772951628823</v>
      </c>
      <c r="I70" s="24">
        <v>5.8</v>
      </c>
      <c r="J70" s="66">
        <v>-0.15</v>
      </c>
      <c r="K70" s="26">
        <f t="shared" si="28"/>
        <v>3.352601156069364</v>
      </c>
      <c r="L70" s="27">
        <f t="shared" si="29"/>
        <v>4.2805</v>
      </c>
      <c r="M70" s="27">
        <f t="shared" si="16"/>
        <v>1.5332011892963329</v>
      </c>
      <c r="N70" s="26">
        <f t="shared" si="30"/>
        <v>0.42255676209279364</v>
      </c>
      <c r="O70" s="27">
        <f t="shared" si="17"/>
        <v>1.5332011892963329</v>
      </c>
      <c r="P70" s="28">
        <f t="shared" si="26"/>
        <v>1.0326733445378153</v>
      </c>
      <c r="Q70" s="4">
        <v>11.21</v>
      </c>
      <c r="R70" s="4">
        <v>8.33</v>
      </c>
      <c r="S70" s="4">
        <v>4.66</v>
      </c>
      <c r="T70" s="4">
        <v>77.36</v>
      </c>
      <c r="U70" s="4">
        <v>77.349999999999994</v>
      </c>
      <c r="V70" s="29">
        <f>U70/T70</f>
        <v>0.99987073422957595</v>
      </c>
      <c r="W70" s="4">
        <v>77.349999999999994</v>
      </c>
      <c r="X70" s="4">
        <v>0.45</v>
      </c>
      <c r="Y70" s="4">
        <v>4.32</v>
      </c>
      <c r="Z70" s="2">
        <v>0</v>
      </c>
      <c r="AA70" s="4">
        <v>0</v>
      </c>
      <c r="AB70" s="4">
        <v>334</v>
      </c>
      <c r="AC70" s="4">
        <v>4.3899999999999997</v>
      </c>
      <c r="AD70" s="4">
        <v>1.27</v>
      </c>
      <c r="AE70" s="4">
        <v>167</v>
      </c>
      <c r="AF70" s="4">
        <v>5.1100000000000003</v>
      </c>
      <c r="AG70" s="4"/>
      <c r="AH70" s="4">
        <v>9.3000000000000007</v>
      </c>
      <c r="AI70" s="4">
        <v>0</v>
      </c>
      <c r="AJ70" s="4">
        <v>552</v>
      </c>
      <c r="AK70" s="4">
        <v>519</v>
      </c>
      <c r="AL70" s="4">
        <v>199</v>
      </c>
      <c r="AM70" s="4">
        <v>32</v>
      </c>
      <c r="AN70" s="5">
        <f t="shared" si="22"/>
        <v>520</v>
      </c>
      <c r="AO70" s="30">
        <v>-10</v>
      </c>
      <c r="AP70" s="4">
        <v>0.3</v>
      </c>
      <c r="AQ70" s="4">
        <v>0.3</v>
      </c>
      <c r="AR70" s="4">
        <v>2.2000000000000002</v>
      </c>
      <c r="AS70" s="28">
        <f>AVERAGE(AP70:AR70)</f>
        <v>0.93333333333333346</v>
      </c>
      <c r="AT70" s="32">
        <v>16</v>
      </c>
      <c r="AU70" s="32">
        <v>13</v>
      </c>
      <c r="AV70" s="32">
        <v>-10</v>
      </c>
      <c r="AW70" s="32">
        <v>120</v>
      </c>
      <c r="AX70" s="32">
        <v>72</v>
      </c>
      <c r="AY70" s="32">
        <v>77</v>
      </c>
      <c r="AZ70" s="33">
        <f t="shared" ref="AZ70:AZ133" si="37">(AT70+AU70+AV70)/(AW70+AX70+AY70)</f>
        <v>7.0631970260223054E-2</v>
      </c>
      <c r="BA70" s="34">
        <f t="shared" si="31"/>
        <v>6.333333333333333</v>
      </c>
      <c r="BB70" s="41">
        <f t="shared" ref="BB70:BB136" si="38">BA70-AS70</f>
        <v>5.3999999999999995</v>
      </c>
      <c r="BC70" s="34">
        <f t="shared" ref="BC70:BC136" si="39">AB70+AE70-AH70-AI70</f>
        <v>491.7</v>
      </c>
      <c r="BD70" s="28">
        <f t="shared" ref="BD70:BD136" si="40">BC70/AS70</f>
        <v>526.82142857142844</v>
      </c>
      <c r="BE70" s="35">
        <f t="shared" si="32"/>
        <v>6.1556925861995255</v>
      </c>
      <c r="BF70" t="str">
        <f t="shared" si="33"/>
        <v>华晨中国</v>
      </c>
    </row>
    <row r="71" spans="1:58" x14ac:dyDescent="0.2">
      <c r="A71" s="1" t="s">
        <v>93</v>
      </c>
      <c r="B71" s="73" t="s">
        <v>47</v>
      </c>
      <c r="C71" s="67">
        <v>3.8</v>
      </c>
      <c r="D71" s="22">
        <f t="shared" si="27"/>
        <v>3.47776</v>
      </c>
      <c r="E71" s="4">
        <v>50.45</v>
      </c>
      <c r="F71" s="4">
        <v>5.17</v>
      </c>
      <c r="G71" s="5">
        <f t="shared" si="34"/>
        <v>175.45299199999999</v>
      </c>
      <c r="H71" s="5">
        <f t="shared" si="25"/>
        <v>0.6726808510638298</v>
      </c>
      <c r="I71" s="24">
        <v>1</v>
      </c>
      <c r="J71" s="66">
        <f>F71/F70-1</f>
        <v>-0.48963474827245812</v>
      </c>
      <c r="K71" s="26">
        <f t="shared" si="28"/>
        <v>0.26315789473684209</v>
      </c>
      <c r="L71" s="27">
        <f t="shared" si="29"/>
        <v>-1.5314116485686085</v>
      </c>
      <c r="M71" s="27">
        <f t="shared" si="16"/>
        <v>0.61446977205153619</v>
      </c>
      <c r="N71" s="26">
        <f t="shared" si="30"/>
        <v>-0.29621115059354131</v>
      </c>
      <c r="O71" s="27">
        <f t="shared" si="17"/>
        <v>0.61446977205153619</v>
      </c>
      <c r="P71" s="28">
        <f t="shared" si="26"/>
        <v>5.6597739354838712</v>
      </c>
      <c r="Q71" s="4">
        <v>11</v>
      </c>
      <c r="R71" s="4">
        <v>9</v>
      </c>
      <c r="S71" s="4">
        <v>1.6</v>
      </c>
      <c r="T71" s="4">
        <v>30.5</v>
      </c>
      <c r="U71" s="4">
        <v>31</v>
      </c>
      <c r="V71" s="29">
        <f t="shared" si="35"/>
        <v>1.0163934426229508</v>
      </c>
      <c r="W71" s="4">
        <v>31</v>
      </c>
      <c r="X71" s="4">
        <v>0.45</v>
      </c>
      <c r="Y71" s="4">
        <v>5.3</v>
      </c>
      <c r="Z71" s="2">
        <v>0</v>
      </c>
      <c r="AA71" s="4">
        <v>0</v>
      </c>
      <c r="AB71" s="4">
        <v>112</v>
      </c>
      <c r="AC71" s="4">
        <v>4.8600000000000003</v>
      </c>
      <c r="AD71" s="4">
        <v>2.61</v>
      </c>
      <c r="AE71" s="4">
        <v>125</v>
      </c>
      <c r="AF71" s="4">
        <v>5.4</v>
      </c>
      <c r="AG71" s="4"/>
      <c r="AH71" s="4">
        <v>6.1</v>
      </c>
      <c r="AI71" s="4">
        <v>0</v>
      </c>
      <c r="AJ71" s="4">
        <v>291</v>
      </c>
      <c r="AK71" s="4">
        <v>271</v>
      </c>
      <c r="AL71" s="4">
        <v>157</v>
      </c>
      <c r="AM71" s="4">
        <v>18</v>
      </c>
      <c r="AN71" s="5">
        <f t="shared" si="22"/>
        <v>273</v>
      </c>
      <c r="AO71" s="30">
        <v>-2.14</v>
      </c>
      <c r="AP71" s="4">
        <v>1.43</v>
      </c>
      <c r="AQ71" s="4">
        <v>0.3</v>
      </c>
      <c r="AR71" s="4">
        <v>0.3</v>
      </c>
      <c r="AS71" s="28">
        <f t="shared" si="36"/>
        <v>0.67666666666666664</v>
      </c>
      <c r="AT71" s="32">
        <v>-2.14</v>
      </c>
      <c r="AU71" s="32">
        <v>13</v>
      </c>
      <c r="AV71" s="32">
        <v>-10</v>
      </c>
      <c r="AW71" s="32">
        <v>30</v>
      </c>
      <c r="AX71" s="32">
        <v>72</v>
      </c>
      <c r="AY71" s="32">
        <v>77</v>
      </c>
      <c r="AZ71" s="33">
        <f t="shared" si="37"/>
        <v>4.8044692737430139E-3</v>
      </c>
      <c r="BA71" s="34">
        <f t="shared" si="31"/>
        <v>0.28666666666666646</v>
      </c>
      <c r="BB71" s="41">
        <f t="shared" si="38"/>
        <v>-0.39000000000000018</v>
      </c>
      <c r="BC71" s="34">
        <f t="shared" si="39"/>
        <v>230.9</v>
      </c>
      <c r="BD71" s="43">
        <f t="shared" si="40"/>
        <v>341.23152709359607</v>
      </c>
      <c r="BE71" s="44">
        <f t="shared" si="32"/>
        <v>1.3160220146032051</v>
      </c>
      <c r="BF71" t="str">
        <f t="shared" si="33"/>
        <v>华晨中国</v>
      </c>
    </row>
    <row r="72" spans="1:58" x14ac:dyDescent="0.2">
      <c r="A72" s="36" t="s">
        <v>94</v>
      </c>
      <c r="B72" s="73" t="s">
        <v>47</v>
      </c>
      <c r="C72" s="38">
        <v>18.3</v>
      </c>
      <c r="D72" s="22">
        <f t="shared" si="27"/>
        <v>16.748160000000002</v>
      </c>
      <c r="E72" s="4">
        <v>5.19</v>
      </c>
      <c r="F72" s="4">
        <v>5.01</v>
      </c>
      <c r="G72" s="5">
        <f t="shared" si="34"/>
        <v>86.922950400000019</v>
      </c>
      <c r="H72" s="51">
        <f t="shared" ref="H72:H77" si="41">C72/F72</f>
        <v>3.6526946107784433</v>
      </c>
      <c r="I72" s="24">
        <v>1.3</v>
      </c>
      <c r="J72" s="66">
        <v>0.1</v>
      </c>
      <c r="K72" s="26">
        <f t="shared" si="28"/>
        <v>7.1038251366120214E-2</v>
      </c>
      <c r="L72" s="27">
        <f t="shared" si="29"/>
        <v>1.8010000000000002</v>
      </c>
      <c r="M72" s="27">
        <f t="shared" si="16"/>
        <v>1.6358381502890174</v>
      </c>
      <c r="N72" s="39">
        <f t="shared" si="30"/>
        <v>0.35948103792415176</v>
      </c>
      <c r="O72" s="27">
        <f t="shared" si="17"/>
        <v>1.6358381502890174</v>
      </c>
      <c r="P72" s="49">
        <f t="shared" si="26"/>
        <v>10.238274487632511</v>
      </c>
      <c r="Q72" s="4">
        <v>52.4</v>
      </c>
      <c r="R72" s="4">
        <v>17.68</v>
      </c>
      <c r="S72" s="4">
        <v>12.15</v>
      </c>
      <c r="T72" s="4">
        <v>8.48</v>
      </c>
      <c r="U72" s="4">
        <v>8.49</v>
      </c>
      <c r="V72" s="29">
        <f t="shared" si="35"/>
        <v>1.0011792452830188</v>
      </c>
      <c r="W72" s="4">
        <v>8.49</v>
      </c>
      <c r="X72" s="4">
        <v>18.27</v>
      </c>
      <c r="Y72" s="4">
        <v>5.07</v>
      </c>
      <c r="Z72" s="2">
        <v>0</v>
      </c>
      <c r="AA72" s="4">
        <v>0.4</v>
      </c>
      <c r="AB72" s="4">
        <v>17.2</v>
      </c>
      <c r="AC72" s="4">
        <v>2.23</v>
      </c>
      <c r="AD72" s="4">
        <v>9.91</v>
      </c>
      <c r="AE72" s="4">
        <v>1.94</v>
      </c>
      <c r="AF72" s="4">
        <v>4.18</v>
      </c>
      <c r="AG72" s="4"/>
      <c r="AH72" s="4">
        <v>2.48</v>
      </c>
      <c r="AI72" s="4">
        <v>1.82</v>
      </c>
      <c r="AJ72" s="4">
        <v>51</v>
      </c>
      <c r="AK72" s="4">
        <v>24.55</v>
      </c>
      <c r="AL72" s="4">
        <v>18</v>
      </c>
      <c r="AM72" s="4">
        <v>18</v>
      </c>
      <c r="AN72" s="5">
        <f t="shared" si="22"/>
        <v>33</v>
      </c>
      <c r="AO72" s="30">
        <v>16</v>
      </c>
      <c r="AP72" s="4">
        <v>1.03</v>
      </c>
      <c r="AQ72" s="4">
        <v>0.5</v>
      </c>
      <c r="AR72" s="13">
        <v>0.7</v>
      </c>
      <c r="AS72" s="28">
        <f t="shared" si="36"/>
        <v>0.74333333333333329</v>
      </c>
      <c r="AT72" s="32">
        <v>16</v>
      </c>
      <c r="AU72" s="32">
        <v>9.39</v>
      </c>
      <c r="AV72" s="32">
        <v>8.5299999999999994</v>
      </c>
      <c r="AW72" s="32">
        <v>8.49</v>
      </c>
      <c r="AX72" s="32">
        <v>6.21</v>
      </c>
      <c r="AY72" s="32">
        <v>5.59</v>
      </c>
      <c r="AZ72" s="33">
        <f t="shared" si="37"/>
        <v>1.6717594874322328</v>
      </c>
      <c r="BA72" s="34">
        <f t="shared" si="31"/>
        <v>11.306666666666667</v>
      </c>
      <c r="BB72" s="41">
        <f t="shared" si="38"/>
        <v>10.563333333333333</v>
      </c>
      <c r="BC72" s="34">
        <f t="shared" si="39"/>
        <v>14.84</v>
      </c>
      <c r="BD72" s="43">
        <f t="shared" si="40"/>
        <v>19.964125560538118</v>
      </c>
      <c r="BE72" s="44">
        <f t="shared" si="32"/>
        <v>0.17072591222122158</v>
      </c>
      <c r="BF72" t="str">
        <f t="shared" si="33"/>
        <v>江南布衣</v>
      </c>
    </row>
    <row r="73" spans="1:58" x14ac:dyDescent="0.2">
      <c r="A73" s="1" t="s">
        <v>95</v>
      </c>
      <c r="B73" s="73" t="s">
        <v>47</v>
      </c>
      <c r="C73" s="2">
        <v>4.5599999999999996</v>
      </c>
      <c r="D73" s="22">
        <f t="shared" si="27"/>
        <v>4.1733120000000001</v>
      </c>
      <c r="E73" s="4">
        <v>115.44</v>
      </c>
      <c r="F73" s="4">
        <v>1.59</v>
      </c>
      <c r="G73" s="5">
        <f t="shared" si="34"/>
        <v>481.76713727999999</v>
      </c>
      <c r="H73" s="51">
        <f t="shared" si="41"/>
        <v>2.8679245283018866</v>
      </c>
      <c r="I73" s="24">
        <v>0.249</v>
      </c>
      <c r="J73" s="66">
        <f>1.59/1.33-1</f>
        <v>0.19548872180451138</v>
      </c>
      <c r="K73" s="26">
        <f t="shared" si="28"/>
        <v>5.460526315789474E-2</v>
      </c>
      <c r="L73" s="27">
        <f t="shared" si="29"/>
        <v>0.55982706766917312</v>
      </c>
      <c r="M73" s="27">
        <f t="shared" ref="M73:M78" si="42">W73/E73</f>
        <v>0.30405405405405406</v>
      </c>
      <c r="N73" s="26">
        <f t="shared" si="30"/>
        <v>0.35209249538941706</v>
      </c>
      <c r="O73" s="27">
        <f t="shared" ref="O73:O78" si="43">U73/E73</f>
        <v>0.30405405405405406</v>
      </c>
      <c r="P73" s="49">
        <f t="shared" si="26"/>
        <v>13.725559466666665</v>
      </c>
      <c r="Q73" s="4">
        <v>259</v>
      </c>
      <c r="R73" s="4">
        <v>111</v>
      </c>
      <c r="S73" s="4">
        <v>52</v>
      </c>
      <c r="T73" s="4">
        <v>35.5</v>
      </c>
      <c r="U73" s="4">
        <v>35.1</v>
      </c>
      <c r="V73" s="29">
        <f t="shared" si="35"/>
        <v>0.9887323943661972</v>
      </c>
      <c r="W73" s="4">
        <v>35.1</v>
      </c>
      <c r="X73" s="4">
        <v>85</v>
      </c>
      <c r="Y73" s="4">
        <v>16.5</v>
      </c>
      <c r="Z73" s="2">
        <v>0</v>
      </c>
      <c r="AA73" s="4">
        <v>1.67</v>
      </c>
      <c r="AB73" s="4">
        <v>120</v>
      </c>
      <c r="AC73" s="4">
        <v>12</v>
      </c>
      <c r="AD73" s="4">
        <v>39.5</v>
      </c>
      <c r="AE73" s="4">
        <v>9.86</v>
      </c>
      <c r="AF73" s="4">
        <v>52</v>
      </c>
      <c r="AG73" s="4"/>
      <c r="AH73" s="4">
        <v>13.47</v>
      </c>
      <c r="AI73" s="4">
        <v>5.12</v>
      </c>
      <c r="AJ73" s="4">
        <v>274</v>
      </c>
      <c r="AK73" s="4">
        <v>170</v>
      </c>
      <c r="AL73" s="4">
        <v>82</v>
      </c>
      <c r="AM73" s="4">
        <v>95</v>
      </c>
      <c r="AN73" s="5">
        <f t="shared" si="22"/>
        <v>179</v>
      </c>
      <c r="AO73" s="30">
        <v>30.5</v>
      </c>
      <c r="AP73" s="4">
        <v>5.6</v>
      </c>
      <c r="AQ73" s="4">
        <v>5.0999999999999996</v>
      </c>
      <c r="AR73" s="13">
        <v>5.8</v>
      </c>
      <c r="AS73" s="28">
        <f t="shared" si="36"/>
        <v>5.5</v>
      </c>
      <c r="AT73" s="32">
        <v>30.5</v>
      </c>
      <c r="AU73" s="32">
        <v>26.7</v>
      </c>
      <c r="AV73" s="32">
        <v>31.3</v>
      </c>
      <c r="AW73" s="32">
        <v>35.5</v>
      </c>
      <c r="AX73" s="32">
        <v>11.42</v>
      </c>
      <c r="AY73" s="32">
        <v>31.2</v>
      </c>
      <c r="AZ73" s="33">
        <f t="shared" si="37"/>
        <v>1.1328725038402456</v>
      </c>
      <c r="BA73" s="34">
        <f t="shared" si="31"/>
        <v>29.5</v>
      </c>
      <c r="BB73" s="41">
        <f t="shared" si="38"/>
        <v>24</v>
      </c>
      <c r="BC73" s="34">
        <f t="shared" si="39"/>
        <v>111.27000000000001</v>
      </c>
      <c r="BD73" s="43">
        <f t="shared" si="40"/>
        <v>20.230909090909094</v>
      </c>
      <c r="BE73" s="35">
        <f t="shared" si="32"/>
        <v>0.23096220433011933</v>
      </c>
      <c r="BF73" t="str">
        <f t="shared" si="33"/>
        <v>波司登</v>
      </c>
    </row>
    <row r="74" spans="1:58" x14ac:dyDescent="0.2">
      <c r="A74" s="1" t="s">
        <v>96</v>
      </c>
      <c r="B74" s="73" t="s">
        <v>47</v>
      </c>
      <c r="C74" s="2">
        <v>5.21</v>
      </c>
      <c r="D74" s="22">
        <f t="shared" si="27"/>
        <v>4.768192</v>
      </c>
      <c r="E74" s="4">
        <v>62.83</v>
      </c>
      <c r="F74" s="4">
        <v>7.68</v>
      </c>
      <c r="G74" s="5">
        <f t="shared" si="34"/>
        <v>299.58550336000002</v>
      </c>
      <c r="H74" s="51">
        <f t="shared" si="41"/>
        <v>0.67838541666666674</v>
      </c>
      <c r="I74" s="24">
        <v>0.14799999999999999</v>
      </c>
      <c r="J74" s="66">
        <v>0.05</v>
      </c>
      <c r="K74" s="26">
        <f t="shared" si="28"/>
        <v>2.8406909788867563E-2</v>
      </c>
      <c r="L74" s="27">
        <f t="shared" si="29"/>
        <v>0.53200000000000003</v>
      </c>
      <c r="M74" s="27">
        <f t="shared" si="42"/>
        <v>0.55865032627725608</v>
      </c>
      <c r="N74" s="26">
        <f t="shared" si="30"/>
        <v>6.9270833333333337E-2</v>
      </c>
      <c r="O74" s="27">
        <f t="shared" si="43"/>
        <v>0.53318478433869176</v>
      </c>
      <c r="P74" s="49">
        <f t="shared" si="26"/>
        <v>8.5351995259259255</v>
      </c>
      <c r="Q74" s="4">
        <v>2577</v>
      </c>
      <c r="R74" s="4">
        <v>2170</v>
      </c>
      <c r="S74" s="4">
        <v>105</v>
      </c>
      <c r="T74" s="4">
        <v>84</v>
      </c>
      <c r="U74" s="4">
        <v>33.5</v>
      </c>
      <c r="V74" s="29">
        <f t="shared" si="35"/>
        <v>0.39880952380952384</v>
      </c>
      <c r="W74" s="4">
        <v>35.1</v>
      </c>
      <c r="X74" s="4">
        <v>198</v>
      </c>
      <c r="Y74" s="4">
        <v>67</v>
      </c>
      <c r="Z74" s="2">
        <v>0</v>
      </c>
      <c r="AA74" s="4">
        <v>22.82</v>
      </c>
      <c r="AB74" s="4">
        <v>530</v>
      </c>
      <c r="AC74" s="4">
        <v>818</v>
      </c>
      <c r="AD74" s="4">
        <v>371</v>
      </c>
      <c r="AE74" s="4">
        <v>61</v>
      </c>
      <c r="AF74" s="4">
        <v>586</v>
      </c>
      <c r="AG74" s="4"/>
      <c r="AH74" s="4">
        <v>454</v>
      </c>
      <c r="AI74" s="4">
        <v>236</v>
      </c>
      <c r="AJ74" s="4">
        <v>2577</v>
      </c>
      <c r="AK74" s="4">
        <v>981</v>
      </c>
      <c r="AL74" s="4">
        <v>719</v>
      </c>
      <c r="AM74" s="4">
        <v>1322</v>
      </c>
      <c r="AN74" s="5">
        <f t="shared" si="22"/>
        <v>1255</v>
      </c>
      <c r="AO74" s="30">
        <v>175</v>
      </c>
      <c r="AP74" s="4">
        <v>27.7</v>
      </c>
      <c r="AQ74" s="4">
        <v>26.5</v>
      </c>
      <c r="AR74" s="13">
        <v>24</v>
      </c>
      <c r="AS74" s="28">
        <f t="shared" si="36"/>
        <v>26.066666666666666</v>
      </c>
      <c r="AT74" s="32">
        <v>156</v>
      </c>
      <c r="AU74" s="32">
        <v>108</v>
      </c>
      <c r="AV74" s="32">
        <v>128</v>
      </c>
      <c r="AW74" s="32">
        <v>84</v>
      </c>
      <c r="AX74" s="32">
        <v>78</v>
      </c>
      <c r="AY74" s="32">
        <v>67</v>
      </c>
      <c r="AZ74" s="33">
        <f t="shared" si="37"/>
        <v>1.7117903930131004</v>
      </c>
      <c r="BA74" s="34">
        <f t="shared" si="31"/>
        <v>130.66666666666666</v>
      </c>
      <c r="BB74" s="41">
        <f t="shared" si="38"/>
        <v>104.6</v>
      </c>
      <c r="BC74" s="34">
        <f t="shared" si="39"/>
        <v>-99</v>
      </c>
      <c r="BD74" s="28">
        <f t="shared" si="40"/>
        <v>-3.7979539641943734</v>
      </c>
      <c r="BE74" s="35">
        <f t="shared" si="32"/>
        <v>-0.33045657713629628</v>
      </c>
      <c r="BF74" t="str">
        <f t="shared" si="33"/>
        <v>华润医药</v>
      </c>
    </row>
    <row r="75" spans="1:58" x14ac:dyDescent="0.2">
      <c r="A75" s="1" t="s">
        <v>97</v>
      </c>
      <c r="B75" s="73" t="s">
        <v>47</v>
      </c>
      <c r="C75" s="2">
        <v>57.3</v>
      </c>
      <c r="D75" s="22">
        <f t="shared" si="27"/>
        <v>52.440959999999997</v>
      </c>
      <c r="E75" s="4">
        <v>32</v>
      </c>
      <c r="F75" s="4">
        <v>18.82</v>
      </c>
      <c r="G75" s="5">
        <f t="shared" si="34"/>
        <v>1678.1107199999999</v>
      </c>
      <c r="H75" s="51">
        <f t="shared" si="41"/>
        <v>3.0446333687566418</v>
      </c>
      <c r="I75" s="24">
        <v>0</v>
      </c>
      <c r="J75" s="66">
        <v>0.1</v>
      </c>
      <c r="K75" s="26">
        <f t="shared" si="28"/>
        <v>0</v>
      </c>
      <c r="L75" s="27">
        <f t="shared" si="29"/>
        <v>1.8820000000000001</v>
      </c>
      <c r="M75" s="27">
        <f t="shared" si="42"/>
        <v>1.3125</v>
      </c>
      <c r="N75" s="26">
        <f t="shared" si="30"/>
        <v>0.1</v>
      </c>
      <c r="O75" s="27">
        <f t="shared" si="43"/>
        <v>1.3125</v>
      </c>
      <c r="P75" s="49">
        <f t="shared" si="26"/>
        <v>39.955017142857137</v>
      </c>
      <c r="Q75" s="4">
        <v>582</v>
      </c>
      <c r="R75" s="4">
        <v>449</v>
      </c>
      <c r="S75" s="4">
        <v>49</v>
      </c>
      <c r="T75" s="4">
        <v>42</v>
      </c>
      <c r="U75" s="4">
        <v>42</v>
      </c>
      <c r="V75" s="29">
        <f t="shared" si="35"/>
        <v>1</v>
      </c>
      <c r="W75" s="4">
        <v>42</v>
      </c>
      <c r="X75" s="4">
        <v>91</v>
      </c>
      <c r="Y75" s="4">
        <v>14</v>
      </c>
      <c r="Z75" s="2">
        <v>13.3</v>
      </c>
      <c r="AA75" s="4">
        <v>0.08</v>
      </c>
      <c r="AB75" s="4">
        <v>482</v>
      </c>
      <c r="AC75" s="4">
        <v>5.5</v>
      </c>
      <c r="AD75" s="4">
        <v>58</v>
      </c>
      <c r="AE75" s="4">
        <v>14.3</v>
      </c>
      <c r="AF75" s="4">
        <v>104</v>
      </c>
      <c r="AG75" s="4"/>
      <c r="AH75" s="4">
        <v>1.1000000000000001</v>
      </c>
      <c r="AI75" s="4">
        <v>1.5</v>
      </c>
      <c r="AJ75" s="4">
        <v>713</v>
      </c>
      <c r="AK75" s="4">
        <v>552</v>
      </c>
      <c r="AL75" s="4">
        <v>128</v>
      </c>
      <c r="AM75" s="4">
        <v>155</v>
      </c>
      <c r="AN75" s="5">
        <f t="shared" si="22"/>
        <v>558</v>
      </c>
      <c r="AO75" s="30">
        <v>43</v>
      </c>
      <c r="AP75" s="4">
        <v>0.5</v>
      </c>
      <c r="AQ75" s="4">
        <v>0.7</v>
      </c>
      <c r="AR75" s="13">
        <v>0.4</v>
      </c>
      <c r="AS75" s="28">
        <f t="shared" si="36"/>
        <v>0.53333333333333333</v>
      </c>
      <c r="AT75" s="32">
        <v>59</v>
      </c>
      <c r="AU75" s="32">
        <v>46</v>
      </c>
      <c r="AV75" s="32">
        <v>43</v>
      </c>
      <c r="AW75" s="32">
        <v>42</v>
      </c>
      <c r="AX75" s="32">
        <v>21</v>
      </c>
      <c r="AY75" s="32">
        <v>3.8</v>
      </c>
      <c r="AZ75" s="33">
        <f t="shared" si="37"/>
        <v>2.215568862275449</v>
      </c>
      <c r="BA75" s="34">
        <f t="shared" si="31"/>
        <v>49.333333333333336</v>
      </c>
      <c r="BB75" s="41">
        <f t="shared" si="38"/>
        <v>48.800000000000004</v>
      </c>
      <c r="BC75" s="34">
        <f t="shared" si="39"/>
        <v>493.7</v>
      </c>
      <c r="BD75" s="43">
        <f t="shared" si="40"/>
        <v>925.6875</v>
      </c>
      <c r="BE75" s="44">
        <f t="shared" si="32"/>
        <v>0.29419989641684668</v>
      </c>
      <c r="BF75" t="str">
        <f t="shared" si="33"/>
        <v>京东健康</v>
      </c>
    </row>
    <row r="76" spans="1:58" x14ac:dyDescent="0.2">
      <c r="A76" s="1" t="s">
        <v>98</v>
      </c>
      <c r="B76" s="73" t="s">
        <v>47</v>
      </c>
      <c r="C76" s="2">
        <v>5.92</v>
      </c>
      <c r="D76" s="22">
        <f t="shared" si="27"/>
        <v>5.4179839999999997</v>
      </c>
      <c r="E76" s="4">
        <v>161.24</v>
      </c>
      <c r="F76" s="4">
        <v>1.1100000000000001</v>
      </c>
      <c r="G76" s="5">
        <f t="shared" si="34"/>
        <v>873.59574015999999</v>
      </c>
      <c r="H76" s="51">
        <f t="shared" si="41"/>
        <v>5.333333333333333</v>
      </c>
      <c r="I76" s="24">
        <v>0</v>
      </c>
      <c r="J76" s="66">
        <v>0</v>
      </c>
      <c r="K76" s="26">
        <f t="shared" si="28"/>
        <v>0</v>
      </c>
      <c r="L76" s="27">
        <f t="shared" si="29"/>
        <v>0</v>
      </c>
      <c r="M76" s="27">
        <f t="shared" si="42"/>
        <v>8.8687670553212597E-2</v>
      </c>
      <c r="N76" s="26">
        <f t="shared" si="30"/>
        <v>0</v>
      </c>
      <c r="O76" s="27">
        <f t="shared" si="43"/>
        <v>8.8687670553212597E-2</v>
      </c>
      <c r="P76" s="49">
        <f t="shared" si="26"/>
        <v>61.090611199999998</v>
      </c>
      <c r="Q76" s="4">
        <v>306</v>
      </c>
      <c r="R76" s="4">
        <v>232</v>
      </c>
      <c r="S76" s="4">
        <v>16.3</v>
      </c>
      <c r="T76" s="4">
        <v>14.3</v>
      </c>
      <c r="U76" s="4">
        <v>14.3</v>
      </c>
      <c r="V76" s="29">
        <f t="shared" si="35"/>
        <v>1</v>
      </c>
      <c r="W76" s="4">
        <v>14.3</v>
      </c>
      <c r="X76" s="4">
        <v>22.6</v>
      </c>
      <c r="Y76" s="4">
        <v>30</v>
      </c>
      <c r="Z76" s="2">
        <v>7.2</v>
      </c>
      <c r="AA76" s="4">
        <v>0.03</v>
      </c>
      <c r="AB76" s="4">
        <v>84</v>
      </c>
      <c r="AC76" s="4">
        <v>10.5</v>
      </c>
      <c r="AD76" s="4">
        <v>15.2</v>
      </c>
      <c r="AE76" s="4">
        <v>34.5</v>
      </c>
      <c r="AF76" s="4">
        <v>28.5</v>
      </c>
      <c r="AG76" s="4"/>
      <c r="AH76" s="4">
        <v>0.1</v>
      </c>
      <c r="AI76" s="4">
        <v>0.3</v>
      </c>
      <c r="AJ76" s="4">
        <v>212</v>
      </c>
      <c r="AK76" s="4">
        <v>163</v>
      </c>
      <c r="AL76" s="4">
        <v>89</v>
      </c>
      <c r="AM76" s="4">
        <v>48</v>
      </c>
      <c r="AN76" s="5">
        <f t="shared" si="22"/>
        <v>164</v>
      </c>
      <c r="AO76" s="30">
        <v>14</v>
      </c>
      <c r="AP76" s="4">
        <v>0.2</v>
      </c>
      <c r="AQ76" s="4">
        <v>0.2</v>
      </c>
      <c r="AR76" s="13">
        <v>0.6</v>
      </c>
      <c r="AS76" s="28">
        <f t="shared" si="36"/>
        <v>0.33333333333333331</v>
      </c>
      <c r="AT76" s="32">
        <v>2.6</v>
      </c>
      <c r="AU76" s="32">
        <v>10.8</v>
      </c>
      <c r="AV76" s="32">
        <v>14</v>
      </c>
      <c r="AW76" s="32">
        <v>14.3</v>
      </c>
      <c r="AX76" s="32">
        <v>8.8000000000000007</v>
      </c>
      <c r="AY76" s="32">
        <v>5.4</v>
      </c>
      <c r="AZ76" s="33">
        <f t="shared" si="37"/>
        <v>0.96140350877192982</v>
      </c>
      <c r="BA76" s="34">
        <f t="shared" si="31"/>
        <v>9.1333333333333329</v>
      </c>
      <c r="BB76" s="41">
        <f t="shared" si="38"/>
        <v>8.7999999999999989</v>
      </c>
      <c r="BC76" s="34">
        <f t="shared" si="39"/>
        <v>118.10000000000001</v>
      </c>
      <c r="BD76" s="43">
        <f t="shared" si="40"/>
        <v>354.30000000000007</v>
      </c>
      <c r="BE76" s="35">
        <f t="shared" si="32"/>
        <v>0.13518838814205969</v>
      </c>
      <c r="BF76" t="str">
        <f t="shared" si="33"/>
        <v>阿里健康</v>
      </c>
    </row>
    <row r="77" spans="1:58" x14ac:dyDescent="0.2">
      <c r="A77" s="1" t="s">
        <v>99</v>
      </c>
      <c r="B77" s="73" t="s">
        <v>47</v>
      </c>
      <c r="C77" s="2">
        <v>25.24</v>
      </c>
      <c r="D77" s="22">
        <f t="shared" si="27"/>
        <v>23.099647999999998</v>
      </c>
      <c r="E77" s="4">
        <v>11.56</v>
      </c>
      <c r="F77" s="4">
        <v>14.69</v>
      </c>
      <c r="G77" s="5">
        <f t="shared" si="34"/>
        <v>267.03193088</v>
      </c>
      <c r="H77" s="51">
        <f t="shared" si="41"/>
        <v>1.7181756296800543</v>
      </c>
      <c r="I77" s="24">
        <v>2.0859999999999999</v>
      </c>
      <c r="J77" s="66">
        <v>0</v>
      </c>
      <c r="K77" s="26">
        <f t="shared" si="28"/>
        <v>8.2646592709984146E-2</v>
      </c>
      <c r="L77" s="27">
        <f t="shared" si="29"/>
        <v>2.0859999999999999</v>
      </c>
      <c r="M77" s="27">
        <f t="shared" si="42"/>
        <v>0.9948096885813148</v>
      </c>
      <c r="N77" s="26">
        <f t="shared" si="30"/>
        <v>0.14200136147038803</v>
      </c>
      <c r="O77" s="27">
        <f t="shared" si="43"/>
        <v>0.9948096885813148</v>
      </c>
      <c r="P77" s="49">
        <f t="shared" si="26"/>
        <v>23.220167902608697</v>
      </c>
      <c r="Q77" s="4">
        <v>362</v>
      </c>
      <c r="R77" s="4">
        <v>315</v>
      </c>
      <c r="S77" s="4">
        <v>17.3</v>
      </c>
      <c r="T77" s="4">
        <v>12.56</v>
      </c>
      <c r="U77" s="4">
        <v>11.5</v>
      </c>
      <c r="V77" s="29">
        <f t="shared" si="35"/>
        <v>0.91560509554140124</v>
      </c>
      <c r="W77" s="4">
        <v>11.5</v>
      </c>
      <c r="X77" s="4">
        <v>5.85</v>
      </c>
      <c r="Y77" s="4">
        <v>19.43</v>
      </c>
      <c r="Z77" s="2">
        <v>0</v>
      </c>
      <c r="AA77" s="4">
        <v>0.12</v>
      </c>
      <c r="AB77" s="4">
        <v>141</v>
      </c>
      <c r="AC77" s="4">
        <v>65.44</v>
      </c>
      <c r="AD77" s="4">
        <v>1</v>
      </c>
      <c r="AE77" s="4">
        <v>23</v>
      </c>
      <c r="AF77" s="4">
        <v>66.72</v>
      </c>
      <c r="AG77" s="4"/>
      <c r="AH77" s="4">
        <v>1.1499999999999999</v>
      </c>
      <c r="AI77" s="4">
        <v>7.96</v>
      </c>
      <c r="AJ77" s="4">
        <v>398</v>
      </c>
      <c r="AK77" s="4">
        <v>177</v>
      </c>
      <c r="AL77" s="4">
        <v>159</v>
      </c>
      <c r="AM77" s="4">
        <v>192</v>
      </c>
      <c r="AN77" s="5">
        <f t="shared" si="22"/>
        <v>206</v>
      </c>
      <c r="AO77" s="30">
        <v>19.2</v>
      </c>
      <c r="AP77" s="4">
        <v>2.25</v>
      </c>
      <c r="AQ77" s="4">
        <v>2.88</v>
      </c>
      <c r="AR77" s="13">
        <v>3.02</v>
      </c>
      <c r="AS77" s="28">
        <f t="shared" si="36"/>
        <v>2.7166666666666668</v>
      </c>
      <c r="AT77" s="32">
        <v>19.2</v>
      </c>
      <c r="AU77" s="32">
        <v>25.9</v>
      </c>
      <c r="AV77" s="32">
        <v>27.6</v>
      </c>
      <c r="AW77" s="32">
        <v>12.56</v>
      </c>
      <c r="AX77" s="32">
        <v>20.36</v>
      </c>
      <c r="AY77" s="32">
        <v>15.87</v>
      </c>
      <c r="AZ77" s="33">
        <f t="shared" si="37"/>
        <v>1.4900594384095098</v>
      </c>
      <c r="BA77" s="34">
        <f t="shared" si="31"/>
        <v>24.233333333333331</v>
      </c>
      <c r="BB77" s="41">
        <f t="shared" si="38"/>
        <v>21.516666666666666</v>
      </c>
      <c r="BC77" s="34">
        <f t="shared" si="39"/>
        <v>154.88999999999999</v>
      </c>
      <c r="BD77" s="28">
        <f t="shared" si="40"/>
        <v>57.014723926380363</v>
      </c>
      <c r="BE77" s="35">
        <f t="shared" si="32"/>
        <v>0.5800429914488584</v>
      </c>
      <c r="BF77" t="str">
        <f t="shared" si="33"/>
        <v>万物云</v>
      </c>
    </row>
    <row r="78" spans="1:58" x14ac:dyDescent="0.2">
      <c r="A78" s="1" t="s">
        <v>100</v>
      </c>
      <c r="B78" s="73" t="s">
        <v>47</v>
      </c>
      <c r="C78" s="2">
        <v>12.49</v>
      </c>
      <c r="D78" s="22">
        <f t="shared" si="27"/>
        <v>11.430848000000001</v>
      </c>
      <c r="E78" s="4">
        <v>154.9</v>
      </c>
      <c r="F78" s="4">
        <v>16.38</v>
      </c>
      <c r="G78" s="5">
        <f t="shared" si="34"/>
        <v>1770.6383552000002</v>
      </c>
      <c r="H78" s="51">
        <f>C78/F78</f>
        <v>0.76251526251526258</v>
      </c>
      <c r="I78" s="24">
        <v>1.73</v>
      </c>
      <c r="J78" s="66">
        <v>0.1</v>
      </c>
      <c r="K78" s="26">
        <f t="shared" si="28"/>
        <v>0.13851080864691753</v>
      </c>
      <c r="L78" s="27">
        <f t="shared" si="29"/>
        <v>3.3679999999999999</v>
      </c>
      <c r="M78" s="27">
        <f t="shared" si="42"/>
        <v>3.1762427372498383</v>
      </c>
      <c r="N78" s="26">
        <f t="shared" si="30"/>
        <v>0.20561660561660564</v>
      </c>
      <c r="O78" s="27">
        <f t="shared" si="43"/>
        <v>3.1762427372498383</v>
      </c>
      <c r="P78" s="49">
        <f t="shared" si="26"/>
        <v>3.5988584455284558</v>
      </c>
      <c r="Q78" s="4">
        <v>2339</v>
      </c>
      <c r="R78" s="4">
        <v>1662</v>
      </c>
      <c r="S78" s="4">
        <v>620</v>
      </c>
      <c r="T78" s="4">
        <v>556</v>
      </c>
      <c r="U78" s="4">
        <v>492</v>
      </c>
      <c r="V78" s="29">
        <f t="shared" si="35"/>
        <v>0.8848920863309353</v>
      </c>
      <c r="W78" s="4">
        <v>492</v>
      </c>
      <c r="X78" s="4">
        <v>0</v>
      </c>
      <c r="Y78" s="4">
        <v>0</v>
      </c>
      <c r="Z78" s="2">
        <v>0</v>
      </c>
      <c r="AA78" s="4">
        <v>32</v>
      </c>
      <c r="AB78" s="4">
        <v>1851</v>
      </c>
      <c r="AC78" s="4">
        <v>89</v>
      </c>
      <c r="AD78" s="4">
        <v>63</v>
      </c>
      <c r="AE78" s="4">
        <v>782</v>
      </c>
      <c r="AF78" s="4">
        <v>156</v>
      </c>
      <c r="AG78" s="4"/>
      <c r="AH78" s="4">
        <v>137</v>
      </c>
      <c r="AI78" s="4">
        <v>626</v>
      </c>
      <c r="AJ78" s="4">
        <v>4975</v>
      </c>
      <c r="AK78" s="4">
        <v>2851</v>
      </c>
      <c r="AL78" s="4">
        <v>2914</v>
      </c>
      <c r="AM78" s="4">
        <v>1228</v>
      </c>
      <c r="AN78" s="5">
        <f t="shared" si="22"/>
        <v>3747</v>
      </c>
      <c r="AO78" s="30">
        <v>693</v>
      </c>
      <c r="AP78" s="4">
        <v>256</v>
      </c>
      <c r="AQ78" s="4">
        <v>152</v>
      </c>
      <c r="AR78" s="13">
        <v>105</v>
      </c>
      <c r="AS78" s="28">
        <f t="shared" si="36"/>
        <v>171</v>
      </c>
      <c r="AT78" s="32">
        <v>1968</v>
      </c>
      <c r="AU78" s="32">
        <v>226</v>
      </c>
      <c r="AV78" s="32">
        <v>693</v>
      </c>
      <c r="AW78" s="32">
        <v>556</v>
      </c>
      <c r="AX78" s="32">
        <v>284</v>
      </c>
      <c r="AY78" s="32">
        <v>1315</v>
      </c>
      <c r="AZ78" s="33">
        <f t="shared" si="37"/>
        <v>1.3396751740139212</v>
      </c>
      <c r="BA78" s="34">
        <f t="shared" si="31"/>
        <v>962.33333333333337</v>
      </c>
      <c r="BB78" s="41">
        <f>BA78-AS78</f>
        <v>791.33333333333337</v>
      </c>
      <c r="BC78" s="34">
        <f>AB78+AE78-AH78-AI78</f>
        <v>1870</v>
      </c>
      <c r="BD78" s="28">
        <f>BC78/AS78</f>
        <v>10.935672514619883</v>
      </c>
      <c r="BE78" s="35">
        <f t="shared" si="32"/>
        <v>1.0561162839990419</v>
      </c>
      <c r="BF78" t="str">
        <f t="shared" si="33"/>
        <v>中远海控</v>
      </c>
    </row>
    <row r="79" spans="1:58" x14ac:dyDescent="0.2">
      <c r="A79" s="1" t="s">
        <v>101</v>
      </c>
      <c r="B79" s="73" t="s">
        <v>47</v>
      </c>
      <c r="C79" s="2">
        <v>3.15</v>
      </c>
      <c r="D79" s="22">
        <f t="shared" si="27"/>
        <v>2.8828800000000001</v>
      </c>
      <c r="E79" s="4">
        <v>504.99</v>
      </c>
      <c r="F79" s="4">
        <f>2.68*B2</f>
        <v>2.4527360000000002</v>
      </c>
      <c r="G79" s="5">
        <f>D79*E79</f>
        <v>1455.8255712</v>
      </c>
      <c r="H79" s="51">
        <f>D79/F79</f>
        <v>1.1753731343283582</v>
      </c>
      <c r="I79" s="24">
        <v>0.104</v>
      </c>
      <c r="J79" s="66">
        <v>5.5E-2</v>
      </c>
      <c r="K79" s="26">
        <f>I79/C79</f>
        <v>3.3015873015873012E-2</v>
      </c>
      <c r="L79" s="27">
        <f>I79+F79*J79</f>
        <v>0.23890048000000003</v>
      </c>
      <c r="M79" s="27">
        <f>W79/E79</f>
        <v>0.2118853838689875</v>
      </c>
      <c r="N79" s="26">
        <f>L79/F79</f>
        <v>9.740162822252374E-2</v>
      </c>
      <c r="O79" s="27">
        <f>U79/E79</f>
        <v>0.21386562110140794</v>
      </c>
      <c r="P79" s="49">
        <f>D79*E79/W79</f>
        <v>13.605846459813085</v>
      </c>
      <c r="Q79" s="4">
        <v>868</v>
      </c>
      <c r="R79" s="4">
        <v>582</v>
      </c>
      <c r="S79" s="4">
        <v>201</v>
      </c>
      <c r="T79" s="4">
        <v>174</v>
      </c>
      <c r="U79" s="4">
        <v>108</v>
      </c>
      <c r="V79" s="29">
        <f>U79/T79</f>
        <v>0.62068965517241381</v>
      </c>
      <c r="W79" s="4">
        <v>107</v>
      </c>
      <c r="X79" s="4">
        <v>0.5</v>
      </c>
      <c r="Y79" s="4">
        <v>26.8</v>
      </c>
      <c r="Z79" s="2">
        <v>24.4</v>
      </c>
      <c r="AA79" s="4">
        <v>55.25</v>
      </c>
      <c r="AB79" s="4">
        <v>168</v>
      </c>
      <c r="AC79" s="4">
        <v>92</v>
      </c>
      <c r="AD79" s="4">
        <v>203</v>
      </c>
      <c r="AE79" s="4">
        <v>162</v>
      </c>
      <c r="AF79" s="4">
        <v>269</v>
      </c>
      <c r="AG79" s="25">
        <v>1.68</v>
      </c>
      <c r="AH79" s="4">
        <v>173</v>
      </c>
      <c r="AI79" s="4">
        <v>1558</v>
      </c>
      <c r="AJ79" s="4">
        <v>4267</v>
      </c>
      <c r="AK79" s="4">
        <v>1735</v>
      </c>
      <c r="AL79" s="4">
        <v>3511</v>
      </c>
      <c r="AM79" s="4">
        <v>835</v>
      </c>
      <c r="AN79" s="5">
        <f t="shared" si="22"/>
        <v>3432</v>
      </c>
      <c r="AO79" s="30">
        <v>380</v>
      </c>
      <c r="AP79" s="4">
        <v>197</v>
      </c>
      <c r="AQ79" s="4">
        <v>142</v>
      </c>
      <c r="AR79" s="13">
        <v>118</v>
      </c>
      <c r="AS79" s="28">
        <f>AVERAGE(AP79:AR79)</f>
        <v>152.33333333333334</v>
      </c>
      <c r="AT79" s="32">
        <v>314</v>
      </c>
      <c r="AU79" s="32">
        <v>331</v>
      </c>
      <c r="AV79" s="32">
        <v>380</v>
      </c>
      <c r="AW79" s="32">
        <v>174</v>
      </c>
      <c r="AX79" s="32">
        <v>170</v>
      </c>
      <c r="AY79" s="32">
        <v>152</v>
      </c>
      <c r="AZ79" s="33">
        <f t="shared" si="37"/>
        <v>2.066532258064516</v>
      </c>
      <c r="BA79" s="34">
        <f>AVERAGE(AT79:AV79)</f>
        <v>341.66666666666669</v>
      </c>
      <c r="BB79" s="41">
        <f>BA79-AS79</f>
        <v>189.33333333333334</v>
      </c>
      <c r="BC79" s="34">
        <f>AB79+AE79-AH79-AI79</f>
        <v>-1401</v>
      </c>
      <c r="BD79" s="28">
        <f>BC79/AS79</f>
        <v>-9.196936542669583</v>
      </c>
      <c r="BE79" s="35">
        <f>BC79/G79</f>
        <v>-0.96234056312473704</v>
      </c>
      <c r="BF79" t="str">
        <f>A79</f>
        <v>中广核</v>
      </c>
    </row>
    <row r="80" spans="1:58" x14ac:dyDescent="0.2">
      <c r="A80" s="1" t="s">
        <v>102</v>
      </c>
      <c r="B80" s="73" t="s">
        <v>47</v>
      </c>
      <c r="C80" s="2">
        <v>7.93</v>
      </c>
      <c r="D80" s="22">
        <f t="shared" si="27"/>
        <v>7.257536</v>
      </c>
      <c r="E80" s="4">
        <v>11.24</v>
      </c>
      <c r="F80" s="4">
        <v>7.64</v>
      </c>
      <c r="G80" s="5">
        <f>D80*E80</f>
        <v>81.574704640000007</v>
      </c>
      <c r="H80" s="51">
        <f>C80/F80</f>
        <v>1.037958115183246</v>
      </c>
      <c r="I80" s="24">
        <v>0.40200000000000002</v>
      </c>
      <c r="J80" s="66">
        <v>8.5000000000000006E-2</v>
      </c>
      <c r="K80" s="26">
        <f>I80/C80</f>
        <v>5.0693568726355616E-2</v>
      </c>
      <c r="L80" s="27">
        <f>I80+F80*J80</f>
        <v>1.0514000000000001</v>
      </c>
      <c r="M80" s="27">
        <f>W80/E80</f>
        <v>0.77135231316725972</v>
      </c>
      <c r="N80" s="26">
        <f>L80/F80</f>
        <v>0.13761780104712043</v>
      </c>
      <c r="O80" s="27">
        <f>U80/E80</f>
        <v>0.82028469750889688</v>
      </c>
      <c r="P80" s="49">
        <f>D80*E80/W80</f>
        <v>9.4088471326412932</v>
      </c>
      <c r="Q80" s="4">
        <v>119</v>
      </c>
      <c r="R80" s="4">
        <v>102</v>
      </c>
      <c r="S80" s="4">
        <v>10.4</v>
      </c>
      <c r="T80" s="4">
        <v>9.3000000000000007</v>
      </c>
      <c r="U80" s="4">
        <v>9.2200000000000006</v>
      </c>
      <c r="V80" s="29">
        <f>U80/T80</f>
        <v>0.99139784946236553</v>
      </c>
      <c r="W80" s="4">
        <v>8.67</v>
      </c>
      <c r="X80" s="4">
        <v>1.56</v>
      </c>
      <c r="Y80" s="4">
        <v>3.55</v>
      </c>
      <c r="Z80" s="2">
        <v>5.16</v>
      </c>
      <c r="AA80" s="4">
        <v>0.1</v>
      </c>
      <c r="AB80" s="4">
        <v>37</v>
      </c>
      <c r="AC80" s="4">
        <v>3.39</v>
      </c>
      <c r="AD80" s="4">
        <v>13.75</v>
      </c>
      <c r="AE80" s="4">
        <v>7.3</v>
      </c>
      <c r="AF80" s="4">
        <v>47</v>
      </c>
      <c r="AG80" s="25">
        <v>0.1</v>
      </c>
      <c r="AH80" s="4">
        <v>0</v>
      </c>
      <c r="AI80" s="4">
        <v>0.6</v>
      </c>
      <c r="AJ80" s="4">
        <v>147</v>
      </c>
      <c r="AK80" s="4">
        <v>78</v>
      </c>
      <c r="AL80" s="4">
        <v>73</v>
      </c>
      <c r="AM80" s="4">
        <v>65</v>
      </c>
      <c r="AN80" s="5">
        <f t="shared" si="22"/>
        <v>82</v>
      </c>
      <c r="AO80" s="30">
        <v>12.16</v>
      </c>
      <c r="AP80" s="4">
        <v>1.1200000000000001</v>
      </c>
      <c r="AQ80" s="4">
        <v>0.9</v>
      </c>
      <c r="AR80" s="13">
        <v>0.9</v>
      </c>
      <c r="AS80" s="28">
        <f>AVERAGE(AP80:AR80)</f>
        <v>0.97333333333333327</v>
      </c>
      <c r="AT80" s="32">
        <v>15</v>
      </c>
      <c r="AU80" s="32">
        <v>11</v>
      </c>
      <c r="AV80" s="32">
        <v>12.2</v>
      </c>
      <c r="AW80" s="32">
        <v>9.3000000000000007</v>
      </c>
      <c r="AX80" s="32">
        <v>9.9</v>
      </c>
      <c r="AY80" s="32">
        <v>6.4</v>
      </c>
      <c r="AZ80" s="33">
        <f t="shared" si="37"/>
        <v>1.4921875</v>
      </c>
      <c r="BA80" s="34">
        <f>AVERAGE(AT80:AV80)</f>
        <v>12.733333333333334</v>
      </c>
      <c r="BB80" s="41">
        <f>BA80-AS80</f>
        <v>11.760000000000002</v>
      </c>
      <c r="BC80" s="34">
        <f>AB80+AE80-AH80-AI80</f>
        <v>43.699999999999996</v>
      </c>
      <c r="BD80" s="28">
        <f>BC80/AS80</f>
        <v>44.897260273972599</v>
      </c>
      <c r="BE80" s="35">
        <f>BC80/G80</f>
        <v>0.53570528012150198</v>
      </c>
      <c r="BF80" t="str">
        <f>A80</f>
        <v>第一拖拉机</v>
      </c>
    </row>
    <row r="81" spans="1:58" x14ac:dyDescent="0.2">
      <c r="A81" s="1" t="s">
        <v>103</v>
      </c>
      <c r="B81" s="73" t="s">
        <v>47</v>
      </c>
      <c r="C81" s="2">
        <v>33.24</v>
      </c>
      <c r="D81" s="22">
        <f t="shared" si="27"/>
        <v>30.421248000000002</v>
      </c>
      <c r="E81" s="4">
        <v>40.79</v>
      </c>
      <c r="F81" s="4">
        <v>12.09</v>
      </c>
      <c r="G81" s="5">
        <f>D81*E81</f>
        <v>1240.88270592</v>
      </c>
      <c r="H81" s="51">
        <f>C81/F81</f>
        <v>2.7493796526054592</v>
      </c>
      <c r="I81" s="24">
        <v>0</v>
      </c>
      <c r="J81" s="66">
        <v>7.4999999999999997E-2</v>
      </c>
      <c r="K81" s="26">
        <f>I81/C81</f>
        <v>0</v>
      </c>
      <c r="L81" s="27">
        <f>I81+F81*J81</f>
        <v>0.90674999999999994</v>
      </c>
      <c r="M81" s="27">
        <f>W81/E81</f>
        <v>0.82373130669281691</v>
      </c>
      <c r="N81" s="26">
        <f>L81/F81</f>
        <v>7.4999999999999997E-2</v>
      </c>
      <c r="O81" s="27">
        <f>U81/E81</f>
        <v>0.82373130669281691</v>
      </c>
      <c r="P81" s="49">
        <f>D81*E81/W81</f>
        <v>36.931032914285716</v>
      </c>
      <c r="Q81" s="4">
        <v>187</v>
      </c>
      <c r="R81" s="4">
        <v>110</v>
      </c>
      <c r="S81" s="4">
        <v>48</v>
      </c>
      <c r="T81" s="4">
        <v>39.5</v>
      </c>
      <c r="U81" s="4">
        <v>33.6</v>
      </c>
      <c r="V81" s="29">
        <f>U81/T81</f>
        <v>0.85063291139240504</v>
      </c>
      <c r="W81" s="4">
        <v>33.6</v>
      </c>
      <c r="X81" s="4">
        <v>4.7</v>
      </c>
      <c r="Y81" s="4">
        <v>17.2</v>
      </c>
      <c r="Z81" s="2">
        <v>7.7</v>
      </c>
      <c r="AA81" s="4">
        <v>1.6</v>
      </c>
      <c r="AB81" s="4">
        <v>107</v>
      </c>
      <c r="AC81" s="4">
        <v>55.3</v>
      </c>
      <c r="AD81" s="4">
        <v>15.22</v>
      </c>
      <c r="AE81" s="4">
        <v>24</v>
      </c>
      <c r="AF81" s="4">
        <v>7.5</v>
      </c>
      <c r="AG81" s="25"/>
      <c r="AH81" s="4">
        <v>26.2</v>
      </c>
      <c r="AI81" s="4">
        <v>23.2</v>
      </c>
      <c r="AJ81" s="4">
        <v>560</v>
      </c>
      <c r="AK81" s="4">
        <v>418</v>
      </c>
      <c r="AL81" s="4">
        <v>236</v>
      </c>
      <c r="AM81" s="4">
        <v>86</v>
      </c>
      <c r="AN81" s="5">
        <f t="shared" si="22"/>
        <v>474</v>
      </c>
      <c r="AO81" s="30">
        <v>52.2</v>
      </c>
      <c r="AP81" s="4">
        <v>39</v>
      </c>
      <c r="AQ81" s="4">
        <v>42</v>
      </c>
      <c r="AR81" s="13">
        <v>59</v>
      </c>
      <c r="AS81" s="28">
        <f>AVERAGE(AP81:AR81)</f>
        <v>46.666666666666664</v>
      </c>
      <c r="AT81" s="32">
        <v>55</v>
      </c>
      <c r="AU81" s="32">
        <v>47</v>
      </c>
      <c r="AV81" s="32">
        <v>52</v>
      </c>
      <c r="AW81" s="32">
        <v>39.5</v>
      </c>
      <c r="AX81" s="32">
        <v>35.700000000000003</v>
      </c>
      <c r="AY81" s="32">
        <v>45.5</v>
      </c>
      <c r="AZ81" s="33">
        <f t="shared" si="37"/>
        <v>1.275890637945319</v>
      </c>
      <c r="BA81" s="34">
        <f>AVERAGE(AT81:AV81)</f>
        <v>51.333333333333336</v>
      </c>
      <c r="BB81" s="41">
        <f>BA81-AS81</f>
        <v>4.6666666666666714</v>
      </c>
      <c r="BC81" s="34">
        <f>AB81+AE81-AH81-AI81</f>
        <v>81.599999999999994</v>
      </c>
      <c r="BD81" s="28">
        <f>BC81/AS81</f>
        <v>1.7485714285714284</v>
      </c>
      <c r="BE81" s="35">
        <f>BC81/G81</f>
        <v>6.5759639981041659E-2</v>
      </c>
      <c r="BF81" t="str">
        <f>A81</f>
        <v>药明生物</v>
      </c>
    </row>
    <row r="82" spans="1:58" x14ac:dyDescent="0.2">
      <c r="A82" s="1" t="s">
        <v>104</v>
      </c>
      <c r="B82" s="73" t="s">
        <v>47</v>
      </c>
      <c r="C82" s="2">
        <v>22</v>
      </c>
      <c r="D82" s="22">
        <f t="shared" si="27"/>
        <v>20.134399999999999</v>
      </c>
      <c r="E82" s="4">
        <v>15.96</v>
      </c>
      <c r="F82" s="4">
        <v>14.86</v>
      </c>
      <c r="G82" s="5">
        <f>D82*E82</f>
        <v>321.34502400000002</v>
      </c>
      <c r="H82" s="51">
        <f>C82/F82</f>
        <v>1.4804845222072678</v>
      </c>
      <c r="I82" s="24">
        <v>0.73</v>
      </c>
      <c r="J82" s="66">
        <v>0.1</v>
      </c>
      <c r="K82" s="26">
        <f>I82/C82</f>
        <v>3.318181818181818E-2</v>
      </c>
      <c r="L82" s="27">
        <f>I82+F82*J82</f>
        <v>2.2160000000000002</v>
      </c>
      <c r="M82" s="27">
        <f>W82/E82</f>
        <v>1.9298245614035088</v>
      </c>
      <c r="N82" s="26">
        <f>L82/F82</f>
        <v>0.14912516823687755</v>
      </c>
      <c r="O82" s="27">
        <f>U82/E82</f>
        <v>1.9298245614035088</v>
      </c>
      <c r="P82" s="49">
        <f>D82*E82/W82</f>
        <v>10.43328</v>
      </c>
      <c r="Q82" s="4">
        <v>161</v>
      </c>
      <c r="R82" s="4">
        <v>109</v>
      </c>
      <c r="S82" s="4">
        <v>37</v>
      </c>
      <c r="T82" s="4">
        <v>30.8</v>
      </c>
      <c r="U82" s="4">
        <v>30.8</v>
      </c>
      <c r="V82" s="29">
        <f>U82/T82</f>
        <v>1</v>
      </c>
      <c r="W82" s="4">
        <v>30.8</v>
      </c>
      <c r="X82" s="4">
        <v>12.76</v>
      </c>
      <c r="Y82" s="4">
        <v>10.4</v>
      </c>
      <c r="Z82" s="2">
        <v>0</v>
      </c>
      <c r="AA82" s="4">
        <v>0.7</v>
      </c>
      <c r="AB82" s="4">
        <v>90</v>
      </c>
      <c r="AC82" s="4">
        <v>37</v>
      </c>
      <c r="AD82" s="4">
        <v>46</v>
      </c>
      <c r="AE82" s="4">
        <v>31</v>
      </c>
      <c r="AF82" s="4">
        <v>46</v>
      </c>
      <c r="AG82" s="25"/>
      <c r="AH82" s="4">
        <v>0.2</v>
      </c>
      <c r="AI82" s="4">
        <v>20.7</v>
      </c>
      <c r="AJ82" s="4">
        <v>311</v>
      </c>
      <c r="AK82" s="4">
        <v>209</v>
      </c>
      <c r="AL82" s="4">
        <v>134</v>
      </c>
      <c r="AM82" s="4">
        <v>79</v>
      </c>
      <c r="AN82" s="5">
        <f t="shared" si="22"/>
        <v>232</v>
      </c>
      <c r="AO82" s="30">
        <v>21</v>
      </c>
      <c r="AP82" s="4">
        <v>11.8</v>
      </c>
      <c r="AQ82" s="4">
        <v>11.2</v>
      </c>
      <c r="AR82" s="13">
        <v>15</v>
      </c>
      <c r="AS82" s="28">
        <f>AVERAGE(AP82:AR82)</f>
        <v>12.666666666666666</v>
      </c>
      <c r="AT82" s="32">
        <v>17.8</v>
      </c>
      <c r="AU82" s="32">
        <v>20.100000000000001</v>
      </c>
      <c r="AV82" s="32">
        <v>21</v>
      </c>
      <c r="AW82" s="32">
        <v>31</v>
      </c>
      <c r="AX82" s="32">
        <v>25</v>
      </c>
      <c r="AY82" s="32">
        <v>23</v>
      </c>
      <c r="AZ82" s="33">
        <f t="shared" si="37"/>
        <v>0.74556962025316464</v>
      </c>
      <c r="BA82" s="34">
        <f>AVERAGE(AT82:AV82)</f>
        <v>19.633333333333336</v>
      </c>
      <c r="BB82" s="41">
        <f>BA82-AS82</f>
        <v>6.9666666666666703</v>
      </c>
      <c r="BC82" s="34">
        <f>AB82+AE82-AH82-AI82</f>
        <v>100.1</v>
      </c>
      <c r="BD82" s="28">
        <f>BC82/AS82</f>
        <v>7.9026315789473687</v>
      </c>
      <c r="BE82" s="35">
        <f>BC82/G82</f>
        <v>0.31150318979266345</v>
      </c>
      <c r="BF82" t="str">
        <f>A82</f>
        <v>海天国际</v>
      </c>
    </row>
    <row r="83" spans="1:58" x14ac:dyDescent="0.2">
      <c r="A83" s="1"/>
      <c r="B83" s="2"/>
      <c r="C83" s="2"/>
      <c r="D83" s="76"/>
      <c r="E83" s="4"/>
      <c r="F83" s="4"/>
      <c r="G83" s="5"/>
      <c r="H83" s="5"/>
      <c r="I83" s="24"/>
      <c r="J83" s="66"/>
      <c r="K83" s="27"/>
      <c r="L83" s="27"/>
      <c r="M83" s="27"/>
      <c r="N83" s="26"/>
      <c r="O83" s="27"/>
      <c r="P83" s="54"/>
      <c r="Q83" s="4"/>
      <c r="R83" s="4"/>
      <c r="S83" s="4"/>
      <c r="T83" s="4"/>
      <c r="U83" s="4"/>
      <c r="V83" s="29"/>
      <c r="W83" s="4"/>
      <c r="X83" s="4"/>
      <c r="Y83" s="4"/>
      <c r="Z83" s="2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5"/>
      <c r="AO83" s="30"/>
      <c r="AP83" s="4"/>
      <c r="AQ83" s="4"/>
      <c r="AR83" s="4"/>
      <c r="AS83" s="28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</row>
    <row r="84" spans="1:58" ht="16" thickBot="1" x14ac:dyDescent="0.25">
      <c r="A84" s="1" t="s">
        <v>105</v>
      </c>
      <c r="B84" s="2" t="s">
        <v>46</v>
      </c>
      <c r="C84" s="2"/>
      <c r="D84" s="76">
        <v>6.67</v>
      </c>
      <c r="E84" s="4">
        <v>176.19</v>
      </c>
      <c r="F84" s="4">
        <v>8.56</v>
      </c>
      <c r="G84" s="5">
        <f t="shared" ref="G84:G147" si="44">D84*E84</f>
        <v>1175.1873000000001</v>
      </c>
      <c r="H84" s="51">
        <f t="shared" ref="H84:H114" si="45">D84/F84</f>
        <v>0.77920560747663548</v>
      </c>
      <c r="I84" s="24">
        <v>0.38192999999999999</v>
      </c>
      <c r="J84" s="66">
        <v>0.03</v>
      </c>
      <c r="K84" s="26">
        <f t="shared" ref="K84:K147" si="46">I84/D84</f>
        <v>5.7260869565217393E-2</v>
      </c>
      <c r="L84" s="27">
        <f t="shared" ref="L84:L147" si="47">I84+F84*J84</f>
        <v>0.63873000000000002</v>
      </c>
      <c r="M84" s="27">
        <f t="shared" ref="M84:M147" si="48">W84/E84</f>
        <v>0.68108292184573471</v>
      </c>
      <c r="N84" s="26">
        <f t="shared" ref="N84:N147" si="49">L84/F84</f>
        <v>7.4617990654205602E-2</v>
      </c>
      <c r="O84" s="27">
        <f t="shared" ref="O84:O147" si="50">U84/E84</f>
        <v>0.67540723083035359</v>
      </c>
      <c r="P84" s="49">
        <f t="shared" ref="P84:P147" si="51">D84*E84/W84</f>
        <v>9.7932275000000004</v>
      </c>
      <c r="Q84" s="4">
        <v>810</v>
      </c>
      <c r="R84" s="4">
        <v>658</v>
      </c>
      <c r="S84" s="4">
        <v>179</v>
      </c>
      <c r="T84" s="4">
        <v>136</v>
      </c>
      <c r="U84" s="4">
        <v>119</v>
      </c>
      <c r="V84" s="29">
        <f t="shared" ref="V84:V147" si="52">U84/T84</f>
        <v>0.875</v>
      </c>
      <c r="W84" s="4">
        <v>120</v>
      </c>
      <c r="X84" s="4">
        <v>2.2999999999999998</v>
      </c>
      <c r="Y84" s="4">
        <v>8.3800000000000008</v>
      </c>
      <c r="Z84" s="2">
        <v>0.1</v>
      </c>
      <c r="AA84" s="4">
        <v>16.399999999999999</v>
      </c>
      <c r="AB84" s="4">
        <v>682</v>
      </c>
      <c r="AC84" s="4"/>
      <c r="AD84" s="4"/>
      <c r="AE84" s="4">
        <v>251</v>
      </c>
      <c r="AF84" s="4"/>
      <c r="AG84" s="4"/>
      <c r="AH84" s="4">
        <v>0.4</v>
      </c>
      <c r="AI84" s="4">
        <v>107</v>
      </c>
      <c r="AJ84" s="4">
        <v>2077</v>
      </c>
      <c r="AK84" s="4">
        <v>1524</v>
      </c>
      <c r="AL84" s="4">
        <v>1318</v>
      </c>
      <c r="AM84" s="4">
        <v>153</v>
      </c>
      <c r="AN84" s="5">
        <f t="shared" ref="AN84:AN104" si="53">AJ84-AM84</f>
        <v>1924</v>
      </c>
      <c r="AO84" s="30">
        <v>172</v>
      </c>
      <c r="AP84" s="4">
        <v>73</v>
      </c>
      <c r="AQ84" s="4"/>
      <c r="AR84" s="4"/>
      <c r="AS84" s="28">
        <f t="shared" ref="AS84:AS147" si="54">AVERAGE(AP84:AR84)</f>
        <v>73</v>
      </c>
      <c r="AT84" s="32">
        <v>189</v>
      </c>
      <c r="AU84" s="32">
        <v>161</v>
      </c>
      <c r="AV84" s="32">
        <v>172</v>
      </c>
      <c r="AW84" s="32">
        <v>122</v>
      </c>
      <c r="AX84" s="32">
        <v>112</v>
      </c>
      <c r="AY84" s="32">
        <v>119</v>
      </c>
      <c r="AZ84" s="33">
        <f t="shared" si="37"/>
        <v>1.4787535410764872</v>
      </c>
      <c r="BA84" s="34">
        <f t="shared" ref="BA84:BA147" si="55">AVERAGE(AT84:AV84)</f>
        <v>174</v>
      </c>
      <c r="BB84" s="41">
        <f t="shared" si="38"/>
        <v>101</v>
      </c>
      <c r="BC84" s="34">
        <f t="shared" si="39"/>
        <v>825.6</v>
      </c>
      <c r="BD84" s="28">
        <f t="shared" si="40"/>
        <v>11.30958904109589</v>
      </c>
      <c r="BE84" s="35">
        <f t="shared" ref="BE84:BE147" si="56">BC84/G84</f>
        <v>0.70252631218870387</v>
      </c>
      <c r="BF84" t="str">
        <f t="shared" ref="BF84:BF147" si="57">A84</f>
        <v>大秦铁路</v>
      </c>
    </row>
    <row r="85" spans="1:58" ht="16" thickBot="1" x14ac:dyDescent="0.25">
      <c r="A85" s="53" t="s">
        <v>106</v>
      </c>
      <c r="B85" s="2" t="s">
        <v>46</v>
      </c>
      <c r="C85" s="2"/>
      <c r="D85" s="76">
        <v>40</v>
      </c>
      <c r="E85" s="4">
        <v>56.31</v>
      </c>
      <c r="F85" s="4">
        <v>20.74</v>
      </c>
      <c r="G85" s="5">
        <f t="shared" si="44"/>
        <v>2252.4</v>
      </c>
      <c r="H85" s="51">
        <f>D85/F85</f>
        <v>1.9286403085824495</v>
      </c>
      <c r="I85" s="24">
        <v>2.38</v>
      </c>
      <c r="J85" s="66">
        <v>0.1</v>
      </c>
      <c r="K85" s="26">
        <f t="shared" si="46"/>
        <v>5.9499999999999997E-2</v>
      </c>
      <c r="L85" s="27">
        <f t="shared" si="47"/>
        <v>4.4539999999999997</v>
      </c>
      <c r="M85" s="27">
        <f t="shared" si="48"/>
        <v>4.9014384656366543</v>
      </c>
      <c r="N85" s="26">
        <f t="shared" si="49"/>
        <v>0.21475409836065573</v>
      </c>
      <c r="O85" s="27">
        <f t="shared" si="50"/>
        <v>5.150062155922571</v>
      </c>
      <c r="P85" s="68">
        <f t="shared" si="51"/>
        <v>8.160869565217391</v>
      </c>
      <c r="Q85" s="52">
        <v>2050</v>
      </c>
      <c r="R85" s="4">
        <v>1416</v>
      </c>
      <c r="S85" s="4">
        <v>329</v>
      </c>
      <c r="T85" s="4">
        <v>277</v>
      </c>
      <c r="U85" s="4">
        <v>290</v>
      </c>
      <c r="V85" s="29">
        <f t="shared" si="52"/>
        <v>1.0469314079422383</v>
      </c>
      <c r="W85" s="4">
        <v>276</v>
      </c>
      <c r="X85" s="4">
        <v>148</v>
      </c>
      <c r="Y85" s="4">
        <v>65</v>
      </c>
      <c r="Z85" s="2">
        <v>68</v>
      </c>
      <c r="AA85" s="4">
        <v>29.6</v>
      </c>
      <c r="AB85" s="4">
        <v>1337</v>
      </c>
      <c r="AC85" s="4">
        <v>162</v>
      </c>
      <c r="AD85" s="4">
        <v>326</v>
      </c>
      <c r="AE85" s="4">
        <v>83.5</v>
      </c>
      <c r="AF85" s="4">
        <v>649</v>
      </c>
      <c r="AG85" s="4"/>
      <c r="AH85" s="4">
        <v>264</v>
      </c>
      <c r="AI85" s="4">
        <v>390</v>
      </c>
      <c r="AJ85" s="4">
        <v>3680</v>
      </c>
      <c r="AK85" s="4">
        <v>1206</v>
      </c>
      <c r="AL85" s="4">
        <v>1399</v>
      </c>
      <c r="AM85" s="4">
        <v>2009</v>
      </c>
      <c r="AN85" s="5">
        <f t="shared" si="53"/>
        <v>1671</v>
      </c>
      <c r="AO85" s="30">
        <v>564</v>
      </c>
      <c r="AP85" s="4">
        <v>54</v>
      </c>
      <c r="AQ85" s="4">
        <v>60</v>
      </c>
      <c r="AR85" s="4">
        <v>57</v>
      </c>
      <c r="AS85" s="28">
        <f>AVERAGE(AP85:AR85)</f>
        <v>57</v>
      </c>
      <c r="AT85" s="32">
        <v>19</v>
      </c>
      <c r="AU85" s="32">
        <v>287</v>
      </c>
      <c r="AV85" s="32">
        <v>564</v>
      </c>
      <c r="AW85" s="32">
        <v>230</v>
      </c>
      <c r="AX85" s="32">
        <v>245</v>
      </c>
      <c r="AY85" s="32">
        <v>290</v>
      </c>
      <c r="AZ85" s="33">
        <f t="shared" si="37"/>
        <v>1.1372549019607843</v>
      </c>
      <c r="BA85" s="34">
        <f t="shared" si="55"/>
        <v>290</v>
      </c>
      <c r="BB85" s="41">
        <f t="shared" si="38"/>
        <v>233</v>
      </c>
      <c r="BC85" s="34">
        <f t="shared" si="39"/>
        <v>766.5</v>
      </c>
      <c r="BD85" s="28">
        <f t="shared" si="40"/>
        <v>13.447368421052632</v>
      </c>
      <c r="BE85" s="35">
        <f t="shared" si="56"/>
        <v>0.3403036760788492</v>
      </c>
      <c r="BF85" t="str">
        <f t="shared" si="57"/>
        <v>格力电器</v>
      </c>
    </row>
    <row r="86" spans="1:58" ht="16" thickBot="1" x14ac:dyDescent="0.25">
      <c r="A86" s="50" t="s">
        <v>106</v>
      </c>
      <c r="B86" s="73" t="s">
        <v>47</v>
      </c>
      <c r="C86" s="2"/>
      <c r="D86" s="63">
        <v>40</v>
      </c>
      <c r="E86" s="4">
        <v>56.01</v>
      </c>
      <c r="F86" s="4">
        <v>24.53</v>
      </c>
      <c r="G86" s="5">
        <f t="shared" si="44"/>
        <v>2240.4</v>
      </c>
      <c r="H86" s="51">
        <f t="shared" si="45"/>
        <v>1.6306563391765185</v>
      </c>
      <c r="I86" s="24">
        <v>3</v>
      </c>
      <c r="J86" s="66">
        <f>F86/F85-1</f>
        <v>0.18273866923818716</v>
      </c>
      <c r="K86" s="26">
        <f t="shared" si="46"/>
        <v>7.4999999999999997E-2</v>
      </c>
      <c r="L86" s="27">
        <f t="shared" si="47"/>
        <v>7.4825795564127313</v>
      </c>
      <c r="M86" s="27">
        <f t="shared" si="48"/>
        <v>5.3740403499375118</v>
      </c>
      <c r="N86" s="39">
        <f t="shared" si="49"/>
        <v>0.30503789467642606</v>
      </c>
      <c r="O86" s="27">
        <f t="shared" si="50"/>
        <v>5.7489733976075703</v>
      </c>
      <c r="P86" s="68">
        <f t="shared" si="51"/>
        <v>7.4431893687707644</v>
      </c>
      <c r="Q86" s="52">
        <v>1900</v>
      </c>
      <c r="R86" s="4">
        <v>1335</v>
      </c>
      <c r="S86" s="4">
        <v>370</v>
      </c>
      <c r="T86" s="4">
        <v>324</v>
      </c>
      <c r="U86" s="4">
        <v>322</v>
      </c>
      <c r="V86" s="29">
        <f t="shared" si="52"/>
        <v>0.99382716049382713</v>
      </c>
      <c r="W86" s="4">
        <v>301</v>
      </c>
      <c r="X86" s="4">
        <v>98</v>
      </c>
      <c r="Y86" s="4">
        <v>61</v>
      </c>
      <c r="Z86" s="2">
        <v>69</v>
      </c>
      <c r="AA86" s="4">
        <v>23.8</v>
      </c>
      <c r="AB86" s="4">
        <f>1139+165</f>
        <v>1304</v>
      </c>
      <c r="AC86" s="4">
        <v>168</v>
      </c>
      <c r="AD86" s="4">
        <v>279</v>
      </c>
      <c r="AE86" s="4">
        <f>43.6+30.4</f>
        <v>74</v>
      </c>
      <c r="AF86" s="4">
        <v>616</v>
      </c>
      <c r="AG86" s="4"/>
      <c r="AH86" s="4">
        <v>390</v>
      </c>
      <c r="AI86" s="4">
        <v>182</v>
      </c>
      <c r="AJ86" s="4">
        <v>3680</v>
      </c>
      <c r="AK86" s="4">
        <v>1415</v>
      </c>
      <c r="AL86" s="4">
        <v>1432</v>
      </c>
      <c r="AM86" s="4">
        <v>2011</v>
      </c>
      <c r="AN86" s="5">
        <f t="shared" si="53"/>
        <v>1669</v>
      </c>
      <c r="AO86" s="30">
        <v>294</v>
      </c>
      <c r="AP86" s="4">
        <v>33</v>
      </c>
      <c r="AQ86" s="4">
        <v>54</v>
      </c>
      <c r="AR86" s="4">
        <v>60</v>
      </c>
      <c r="AS86" s="28">
        <f t="shared" si="54"/>
        <v>49</v>
      </c>
      <c r="AT86" s="32">
        <v>564</v>
      </c>
      <c r="AU86" s="32">
        <v>287</v>
      </c>
      <c r="AV86" s="32">
        <v>19</v>
      </c>
      <c r="AW86" s="32">
        <v>277</v>
      </c>
      <c r="AX86" s="32">
        <v>230</v>
      </c>
      <c r="AY86" s="32">
        <v>228</v>
      </c>
      <c r="AZ86" s="33">
        <f t="shared" si="37"/>
        <v>1.1836734693877551</v>
      </c>
      <c r="BA86" s="34">
        <f t="shared" si="55"/>
        <v>290</v>
      </c>
      <c r="BB86" s="41">
        <f t="shared" si="38"/>
        <v>241</v>
      </c>
      <c r="BC86" s="34">
        <f t="shared" si="39"/>
        <v>806</v>
      </c>
      <c r="BD86" s="43">
        <f t="shared" si="40"/>
        <v>16.448979591836736</v>
      </c>
      <c r="BE86" s="44">
        <f t="shared" si="56"/>
        <v>0.35975718621674702</v>
      </c>
      <c r="BF86" t="str">
        <f t="shared" si="57"/>
        <v>格力电器</v>
      </c>
    </row>
    <row r="87" spans="1:58" x14ac:dyDescent="0.2">
      <c r="A87" s="53" t="s">
        <v>107</v>
      </c>
      <c r="B87" s="2" t="s">
        <v>46</v>
      </c>
      <c r="C87" s="2"/>
      <c r="D87" s="76">
        <v>76.06</v>
      </c>
      <c r="E87" s="4">
        <v>69.75</v>
      </c>
      <c r="F87" s="4">
        <v>23.18</v>
      </c>
      <c r="G87" s="5">
        <f t="shared" si="44"/>
        <v>5305.1850000000004</v>
      </c>
      <c r="H87" s="5">
        <f>D87/F87</f>
        <v>3.2812769628990512</v>
      </c>
      <c r="I87" s="24">
        <v>3</v>
      </c>
      <c r="J87" s="66">
        <v>0.14000000000000001</v>
      </c>
      <c r="K87" s="26">
        <f t="shared" si="46"/>
        <v>3.9442545358927161E-2</v>
      </c>
      <c r="L87" s="27">
        <f t="shared" si="47"/>
        <v>6.2452000000000005</v>
      </c>
      <c r="M87" s="27">
        <f t="shared" si="48"/>
        <v>4.731182795698925</v>
      </c>
      <c r="N87" s="26">
        <f t="shared" si="49"/>
        <v>0.26942191544434863</v>
      </c>
      <c r="O87" s="27">
        <f t="shared" si="50"/>
        <v>4.7885304659498207</v>
      </c>
      <c r="P87" s="54">
        <f t="shared" si="51"/>
        <v>16.076318181818184</v>
      </c>
      <c r="Q87" s="4">
        <v>3737</v>
      </c>
      <c r="R87" s="4">
        <v>3350</v>
      </c>
      <c r="S87" s="4">
        <v>403</v>
      </c>
      <c r="T87" s="4">
        <v>337</v>
      </c>
      <c r="U87" s="4">
        <v>334</v>
      </c>
      <c r="V87" s="29">
        <f t="shared" si="52"/>
        <v>0.99109792284866471</v>
      </c>
      <c r="W87" s="4">
        <v>330</v>
      </c>
      <c r="X87" s="4">
        <v>349</v>
      </c>
      <c r="Y87" s="4">
        <v>135</v>
      </c>
      <c r="Z87" s="2">
        <v>146</v>
      </c>
      <c r="AA87" s="4">
        <v>28</v>
      </c>
      <c r="AB87" s="4">
        <f>817+18</f>
        <v>835</v>
      </c>
      <c r="AC87" s="4">
        <v>329</v>
      </c>
      <c r="AD87" s="4">
        <v>473</v>
      </c>
      <c r="AE87" s="4">
        <v>50</v>
      </c>
      <c r="AF87" s="4">
        <v>942</v>
      </c>
      <c r="AG87" s="4"/>
      <c r="AH87" s="4">
        <v>88</v>
      </c>
      <c r="AI87" s="4">
        <v>462</v>
      </c>
      <c r="AJ87" s="4">
        <v>4860</v>
      </c>
      <c r="AK87" s="4">
        <v>1743</v>
      </c>
      <c r="AL87" s="4">
        <v>2047</v>
      </c>
      <c r="AM87" s="4">
        <v>2512</v>
      </c>
      <c r="AN87" s="5">
        <f t="shared" si="53"/>
        <v>2348</v>
      </c>
      <c r="AO87" s="30">
        <v>579</v>
      </c>
      <c r="AP87" s="4">
        <v>63</v>
      </c>
      <c r="AQ87" s="4">
        <v>74</v>
      </c>
      <c r="AR87" s="4">
        <v>68</v>
      </c>
      <c r="AS87" s="28">
        <f t="shared" si="54"/>
        <v>68.333333333333329</v>
      </c>
      <c r="AT87" s="32">
        <v>294</v>
      </c>
      <c r="AU87" s="32">
        <v>564</v>
      </c>
      <c r="AV87" s="32">
        <v>287</v>
      </c>
      <c r="AW87" s="32">
        <v>324</v>
      </c>
      <c r="AX87" s="32">
        <v>277</v>
      </c>
      <c r="AY87" s="32">
        <v>230</v>
      </c>
      <c r="AZ87" s="33">
        <f t="shared" si="37"/>
        <v>1.3778580024067388</v>
      </c>
      <c r="BA87" s="34">
        <f t="shared" si="55"/>
        <v>381.66666666666669</v>
      </c>
      <c r="BB87" s="41">
        <f t="shared" si="38"/>
        <v>313.33333333333337</v>
      </c>
      <c r="BC87" s="34">
        <f t="shared" si="39"/>
        <v>335</v>
      </c>
      <c r="BD87" s="28">
        <f t="shared" si="40"/>
        <v>4.9024390243902438</v>
      </c>
      <c r="BE87" s="35">
        <f t="shared" si="56"/>
        <v>6.3145771542368445E-2</v>
      </c>
      <c r="BF87" t="str">
        <f t="shared" si="57"/>
        <v>美的集团</v>
      </c>
    </row>
    <row r="88" spans="1:58" x14ac:dyDescent="0.2">
      <c r="A88" s="1" t="s">
        <v>107</v>
      </c>
      <c r="B88" s="73" t="s">
        <v>47</v>
      </c>
      <c r="C88" s="2"/>
      <c r="D88" s="76">
        <v>74.400000000000006</v>
      </c>
      <c r="E88" s="4">
        <v>76.599999999999994</v>
      </c>
      <c r="F88" s="4">
        <v>28.31</v>
      </c>
      <c r="G88" s="5">
        <f t="shared" si="44"/>
        <v>5699.04</v>
      </c>
      <c r="H88" s="5">
        <f t="shared" si="45"/>
        <v>2.6280466266336986</v>
      </c>
      <c r="I88" s="24">
        <v>3.5</v>
      </c>
      <c r="J88" s="66">
        <f>F88/F87-1</f>
        <v>0.22131147540983598</v>
      </c>
      <c r="K88" s="26">
        <f t="shared" si="46"/>
        <v>4.7043010752688172E-2</v>
      </c>
      <c r="L88" s="27">
        <f t="shared" si="47"/>
        <v>9.7653278688524559</v>
      </c>
      <c r="M88" s="27">
        <f t="shared" si="48"/>
        <v>4.6605744125326378</v>
      </c>
      <c r="N88" s="26">
        <f t="shared" si="49"/>
        <v>0.34494270112513092</v>
      </c>
      <c r="O88" s="27">
        <f t="shared" si="50"/>
        <v>5.0261096605744129</v>
      </c>
      <c r="P88" s="54">
        <f t="shared" si="51"/>
        <v>15.963697478991596</v>
      </c>
      <c r="Q88" s="4">
        <v>4091</v>
      </c>
      <c r="R88" s="4">
        <v>3678</v>
      </c>
      <c r="S88" s="4">
        <v>464</v>
      </c>
      <c r="T88" s="4">
        <v>388</v>
      </c>
      <c r="U88" s="4">
        <v>385</v>
      </c>
      <c r="V88" s="29">
        <f t="shared" si="52"/>
        <v>0.99226804123711343</v>
      </c>
      <c r="W88" s="4">
        <v>357</v>
      </c>
      <c r="X88" s="4">
        <v>388</v>
      </c>
      <c r="Y88" s="4">
        <v>145</v>
      </c>
      <c r="Z88" s="2">
        <v>162</v>
      </c>
      <c r="AA88" s="4">
        <v>25</v>
      </c>
      <c r="AB88" s="4">
        <v>1470</v>
      </c>
      <c r="AC88" s="4">
        <v>358</v>
      </c>
      <c r="AD88" s="4">
        <v>633</v>
      </c>
      <c r="AE88" s="4">
        <v>52</v>
      </c>
      <c r="AF88" s="4">
        <v>1188</v>
      </c>
      <c r="AG88" s="4"/>
      <c r="AH88" s="4">
        <v>310</v>
      </c>
      <c r="AI88" s="4">
        <v>105</v>
      </c>
      <c r="AJ88" s="4">
        <v>6043</v>
      </c>
      <c r="AK88" s="4">
        <v>2277</v>
      </c>
      <c r="AL88" s="4">
        <v>2153</v>
      </c>
      <c r="AM88" s="4">
        <v>3518</v>
      </c>
      <c r="AN88" s="5">
        <f t="shared" si="53"/>
        <v>2525</v>
      </c>
      <c r="AO88" s="30">
        <v>605</v>
      </c>
      <c r="AP88" s="4">
        <v>78</v>
      </c>
      <c r="AQ88" s="4">
        <v>63</v>
      </c>
      <c r="AR88" s="4">
        <v>74</v>
      </c>
      <c r="AS88" s="28">
        <f t="shared" si="54"/>
        <v>71.666666666666671</v>
      </c>
      <c r="AT88" s="32">
        <v>605</v>
      </c>
      <c r="AU88" s="32">
        <v>579</v>
      </c>
      <c r="AV88" s="32">
        <v>347</v>
      </c>
      <c r="AW88" s="32">
        <v>388</v>
      </c>
      <c r="AX88" s="32">
        <v>338</v>
      </c>
      <c r="AY88" s="32">
        <v>298</v>
      </c>
      <c r="AZ88" s="33">
        <f t="shared" si="37"/>
        <v>1.4951171875</v>
      </c>
      <c r="BA88" s="34">
        <f t="shared" si="55"/>
        <v>510.33333333333331</v>
      </c>
      <c r="BB88" s="41">
        <f t="shared" si="38"/>
        <v>438.66666666666663</v>
      </c>
      <c r="BC88" s="34">
        <f t="shared" si="39"/>
        <v>1107</v>
      </c>
      <c r="BD88" s="43">
        <f t="shared" si="40"/>
        <v>15.446511627906975</v>
      </c>
      <c r="BE88" s="35">
        <f t="shared" si="56"/>
        <v>0.19424324096689968</v>
      </c>
      <c r="BF88" t="str">
        <f t="shared" si="57"/>
        <v>美的集团</v>
      </c>
    </row>
    <row r="89" spans="1:58" x14ac:dyDescent="0.2">
      <c r="A89" s="53" t="s">
        <v>108</v>
      </c>
      <c r="B89" s="2" t="s">
        <v>46</v>
      </c>
      <c r="C89" s="2"/>
      <c r="D89" s="76">
        <v>28.06</v>
      </c>
      <c r="E89" s="4">
        <v>94.38</v>
      </c>
      <c r="F89" s="4">
        <v>10.97</v>
      </c>
      <c r="G89" s="5">
        <f t="shared" si="44"/>
        <v>2648.3027999999999</v>
      </c>
      <c r="H89" s="5">
        <f>D89/F89</f>
        <v>2.557885141294439</v>
      </c>
      <c r="I89" s="24">
        <v>0.80400000000000005</v>
      </c>
      <c r="J89" s="66">
        <v>0.14000000000000001</v>
      </c>
      <c r="K89" s="26">
        <f t="shared" si="46"/>
        <v>2.8652886671418392E-2</v>
      </c>
      <c r="L89" s="27">
        <f t="shared" si="47"/>
        <v>2.3398000000000003</v>
      </c>
      <c r="M89" s="27">
        <f t="shared" si="48"/>
        <v>1.6740834922653105</v>
      </c>
      <c r="N89" s="26">
        <f t="shared" si="49"/>
        <v>0.2132907930720146</v>
      </c>
      <c r="O89" s="27">
        <f t="shared" si="50"/>
        <v>1.6740834922653105</v>
      </c>
      <c r="P89" s="28">
        <f t="shared" si="51"/>
        <v>16.761410126582277</v>
      </c>
      <c r="Q89" s="4">
        <v>2742</v>
      </c>
      <c r="R89" s="4">
        <v>1988</v>
      </c>
      <c r="S89" s="4">
        <v>204</v>
      </c>
      <c r="T89" s="4">
        <v>171</v>
      </c>
      <c r="U89" s="4">
        <v>158</v>
      </c>
      <c r="V89" s="29">
        <f t="shared" si="52"/>
        <v>0.92397660818713445</v>
      </c>
      <c r="W89" s="4">
        <v>158</v>
      </c>
      <c r="X89" s="4">
        <v>327</v>
      </c>
      <c r="Y89" s="4">
        <v>119</v>
      </c>
      <c r="Z89" s="2">
        <v>104</v>
      </c>
      <c r="AA89" s="4">
        <v>22</v>
      </c>
      <c r="AB89" s="4">
        <f>572+10</f>
        <v>582</v>
      </c>
      <c r="AC89" s="4">
        <v>315</v>
      </c>
      <c r="AD89" s="4">
        <v>395</v>
      </c>
      <c r="AE89" s="4">
        <v>266</v>
      </c>
      <c r="AF89" s="4">
        <v>722</v>
      </c>
      <c r="AG89" s="4"/>
      <c r="AH89" s="4">
        <v>109</v>
      </c>
      <c r="AI89" s="4">
        <v>184</v>
      </c>
      <c r="AJ89" s="4">
        <v>2610</v>
      </c>
      <c r="AK89" s="4">
        <v>1012</v>
      </c>
      <c r="AL89" s="4">
        <v>1221</v>
      </c>
      <c r="AM89" s="4">
        <v>1238</v>
      </c>
      <c r="AN89" s="5">
        <f t="shared" si="53"/>
        <v>1372</v>
      </c>
      <c r="AO89" s="30">
        <v>265</v>
      </c>
      <c r="AP89" s="4">
        <v>105</v>
      </c>
      <c r="AQ89" s="4">
        <v>82</v>
      </c>
      <c r="AR89" s="4">
        <v>74</v>
      </c>
      <c r="AS89" s="28">
        <f t="shared" si="54"/>
        <v>87</v>
      </c>
      <c r="AT89" s="32">
        <v>232</v>
      </c>
      <c r="AU89" s="32">
        <v>203</v>
      </c>
      <c r="AV89" s="32">
        <v>265</v>
      </c>
      <c r="AW89" s="32">
        <v>132</v>
      </c>
      <c r="AX89" s="32">
        <v>147</v>
      </c>
      <c r="AY89" s="32">
        <v>171</v>
      </c>
      <c r="AZ89" s="33">
        <f t="shared" si="37"/>
        <v>1.5555555555555556</v>
      </c>
      <c r="BA89" s="34">
        <f t="shared" si="55"/>
        <v>233.33333333333334</v>
      </c>
      <c r="BB89" s="41">
        <f t="shared" si="38"/>
        <v>146.33333333333334</v>
      </c>
      <c r="BC89" s="34">
        <f t="shared" si="39"/>
        <v>555</v>
      </c>
      <c r="BD89" s="28">
        <f t="shared" si="40"/>
        <v>6.3793103448275863</v>
      </c>
      <c r="BE89" s="35">
        <f t="shared" si="56"/>
        <v>0.20956818079866094</v>
      </c>
      <c r="BF89" t="str">
        <f t="shared" si="57"/>
        <v>海尔智家</v>
      </c>
    </row>
    <row r="90" spans="1:58" x14ac:dyDescent="0.2">
      <c r="A90" s="1" t="s">
        <v>108</v>
      </c>
      <c r="B90" s="73" t="s">
        <v>47</v>
      </c>
      <c r="C90" s="2"/>
      <c r="D90" s="76">
        <v>26.81</v>
      </c>
      <c r="E90" s="4">
        <v>93.8</v>
      </c>
      <c r="F90" s="4">
        <v>12.74</v>
      </c>
      <c r="G90" s="5">
        <f t="shared" si="44"/>
        <v>2514.7779999999998</v>
      </c>
      <c r="H90" s="5">
        <f t="shared" si="45"/>
        <v>2.1043956043956045</v>
      </c>
      <c r="I90" s="24">
        <v>1.234</v>
      </c>
      <c r="J90" s="66">
        <v>0.08</v>
      </c>
      <c r="K90" s="26">
        <f t="shared" si="46"/>
        <v>4.6027601641178667E-2</v>
      </c>
      <c r="L90" s="27">
        <f t="shared" si="47"/>
        <v>2.2532000000000001</v>
      </c>
      <c r="M90" s="27">
        <f t="shared" si="48"/>
        <v>1.8976545842217485</v>
      </c>
      <c r="N90" s="26">
        <f t="shared" si="49"/>
        <v>0.17686028257456829</v>
      </c>
      <c r="O90" s="27">
        <f t="shared" si="50"/>
        <v>1.8976545842217485</v>
      </c>
      <c r="P90" s="28">
        <f t="shared" si="51"/>
        <v>14.127966292134831</v>
      </c>
      <c r="Q90" s="4">
        <v>2860</v>
      </c>
      <c r="R90" s="4">
        <v>2065</v>
      </c>
      <c r="S90" s="4">
        <v>229</v>
      </c>
      <c r="T90" s="4">
        <v>196</v>
      </c>
      <c r="U90" s="4">
        <v>178</v>
      </c>
      <c r="V90" s="29">
        <f t="shared" si="52"/>
        <v>0.90816326530612246</v>
      </c>
      <c r="W90" s="4">
        <v>178</v>
      </c>
      <c r="X90" s="4">
        <v>336</v>
      </c>
      <c r="Y90" s="4">
        <v>121</v>
      </c>
      <c r="Z90" s="2">
        <v>107</v>
      </c>
      <c r="AA90" s="4">
        <v>27</v>
      </c>
      <c r="AB90" s="4">
        <f>556+12</f>
        <v>568</v>
      </c>
      <c r="AC90" s="4">
        <v>386</v>
      </c>
      <c r="AD90" s="4">
        <v>430</v>
      </c>
      <c r="AE90" s="4">
        <v>269</v>
      </c>
      <c r="AF90" s="4">
        <v>757</v>
      </c>
      <c r="AG90" s="25">
        <v>0.3</v>
      </c>
      <c r="AH90" s="4">
        <v>138</v>
      </c>
      <c r="AI90" s="4">
        <v>97</v>
      </c>
      <c r="AJ90" s="4">
        <v>2901</v>
      </c>
      <c r="AK90" s="4">
        <v>1114</v>
      </c>
      <c r="AL90" s="4">
        <v>1386</v>
      </c>
      <c r="AM90" s="4">
        <v>1498</v>
      </c>
      <c r="AN90" s="5">
        <f t="shared" si="53"/>
        <v>1403</v>
      </c>
      <c r="AO90" s="30">
        <v>265</v>
      </c>
      <c r="AP90" s="4">
        <v>101</v>
      </c>
      <c r="AQ90" s="4">
        <v>105</v>
      </c>
      <c r="AR90" s="4">
        <v>82</v>
      </c>
      <c r="AS90" s="28">
        <f t="shared" si="54"/>
        <v>96</v>
      </c>
      <c r="AT90" s="32">
        <v>203</v>
      </c>
      <c r="AU90" s="32">
        <v>265</v>
      </c>
      <c r="AV90" s="32">
        <v>265</v>
      </c>
      <c r="AW90" s="32">
        <v>147</v>
      </c>
      <c r="AX90" s="32">
        <v>171</v>
      </c>
      <c r="AY90" s="32">
        <v>196</v>
      </c>
      <c r="AZ90" s="33">
        <f t="shared" si="37"/>
        <v>1.4260700389105059</v>
      </c>
      <c r="BA90" s="34">
        <f t="shared" si="55"/>
        <v>244.33333333333334</v>
      </c>
      <c r="BB90" s="41">
        <f t="shared" si="38"/>
        <v>148.33333333333334</v>
      </c>
      <c r="BC90" s="34">
        <f t="shared" si="39"/>
        <v>602</v>
      </c>
      <c r="BD90" s="28">
        <f t="shared" si="40"/>
        <v>6.270833333333333</v>
      </c>
      <c r="BE90" s="35">
        <f t="shared" si="56"/>
        <v>0.2393849476971725</v>
      </c>
      <c r="BF90" t="str">
        <f t="shared" si="57"/>
        <v>海尔智家</v>
      </c>
    </row>
    <row r="91" spans="1:58" x14ac:dyDescent="0.2">
      <c r="A91" s="53" t="s">
        <v>109</v>
      </c>
      <c r="B91" s="2" t="s">
        <v>46</v>
      </c>
      <c r="C91" s="2"/>
      <c r="D91" s="76">
        <v>36</v>
      </c>
      <c r="E91" s="4">
        <v>10.02</v>
      </c>
      <c r="F91" s="4">
        <v>11.73</v>
      </c>
      <c r="G91" s="5">
        <f t="shared" si="44"/>
        <v>360.71999999999997</v>
      </c>
      <c r="H91" s="5">
        <f>D91/F91</f>
        <v>3.0690537084398977</v>
      </c>
      <c r="I91" s="24">
        <v>0.8</v>
      </c>
      <c r="J91" s="66">
        <v>0.15</v>
      </c>
      <c r="K91" s="26">
        <f t="shared" si="46"/>
        <v>2.2222222222222223E-2</v>
      </c>
      <c r="L91" s="27">
        <f t="shared" si="47"/>
        <v>2.5594999999999999</v>
      </c>
      <c r="M91" s="27">
        <f t="shared" si="48"/>
        <v>1.9101277963553411</v>
      </c>
      <c r="N91" s="26">
        <f t="shared" si="49"/>
        <v>0.2182011935208866</v>
      </c>
      <c r="O91" s="27">
        <f t="shared" si="50"/>
        <v>2.3912175648702596</v>
      </c>
      <c r="P91" s="28">
        <f t="shared" si="51"/>
        <v>18.846906509967837</v>
      </c>
      <c r="Q91" s="4">
        <v>79.7</v>
      </c>
      <c r="R91" s="4">
        <v>38.67</v>
      </c>
      <c r="S91" s="4">
        <v>28.93</v>
      </c>
      <c r="T91" s="4">
        <v>23.76</v>
      </c>
      <c r="U91" s="4">
        <v>23.96</v>
      </c>
      <c r="V91" s="29">
        <f t="shared" si="52"/>
        <v>1.0084175084175084</v>
      </c>
      <c r="W91" s="24">
        <f>(28.49-5.55)*(28.49-4.72)/28.49</f>
        <v>19.139480519480518</v>
      </c>
      <c r="X91" s="4">
        <v>10.98</v>
      </c>
      <c r="Y91" s="4">
        <v>4.1100000000000003</v>
      </c>
      <c r="Z91" s="2">
        <v>5.04</v>
      </c>
      <c r="AA91" s="4">
        <v>0.57999999999999996</v>
      </c>
      <c r="AB91" s="4">
        <v>72</v>
      </c>
      <c r="AC91" s="4">
        <v>4.4800000000000004</v>
      </c>
      <c r="AD91" s="4">
        <v>14.12</v>
      </c>
      <c r="AE91" s="4">
        <v>2.2599999999999998</v>
      </c>
      <c r="AF91" s="4">
        <v>14.11</v>
      </c>
      <c r="AG91" s="4"/>
      <c r="AH91" s="4">
        <v>0</v>
      </c>
      <c r="AI91" s="4">
        <v>6.8</v>
      </c>
      <c r="AJ91" s="4">
        <v>159</v>
      </c>
      <c r="AK91" s="4">
        <v>119</v>
      </c>
      <c r="AL91" s="4">
        <v>65.8</v>
      </c>
      <c r="AM91" s="4">
        <v>28.7</v>
      </c>
      <c r="AN91" s="5">
        <f t="shared" si="53"/>
        <v>130.30000000000001</v>
      </c>
      <c r="AO91" s="30">
        <v>21.27</v>
      </c>
      <c r="AP91" s="4">
        <v>1.33</v>
      </c>
      <c r="AQ91" s="4">
        <v>3.79</v>
      </c>
      <c r="AR91" s="4">
        <v>2.84</v>
      </c>
      <c r="AS91" s="28">
        <f>AVERAGE(AP91:AR91)</f>
        <v>2.6533333333333333</v>
      </c>
      <c r="AT91" s="32">
        <v>12</v>
      </c>
      <c r="AU91" s="32">
        <v>23</v>
      </c>
      <c r="AV91" s="32">
        <v>21</v>
      </c>
      <c r="AW91" s="32">
        <v>15</v>
      </c>
      <c r="AX91" s="32">
        <v>16</v>
      </c>
      <c r="AY91" s="32">
        <v>24</v>
      </c>
      <c r="AZ91" s="33">
        <f t="shared" si="37"/>
        <v>1.0181818181818181</v>
      </c>
      <c r="BA91" s="34">
        <f t="shared" si="55"/>
        <v>18.666666666666668</v>
      </c>
      <c r="BB91" s="41">
        <f t="shared" si="38"/>
        <v>16.013333333333335</v>
      </c>
      <c r="BC91" s="34">
        <f t="shared" si="39"/>
        <v>67.460000000000008</v>
      </c>
      <c r="BD91" s="28">
        <f t="shared" si="40"/>
        <v>25.424623115577891</v>
      </c>
      <c r="BE91" s="35">
        <f t="shared" si="56"/>
        <v>0.18701485917054783</v>
      </c>
      <c r="BF91" t="str">
        <f t="shared" si="57"/>
        <v>鱼跃医疗</v>
      </c>
    </row>
    <row r="92" spans="1:58" x14ac:dyDescent="0.2">
      <c r="A92" s="1" t="s">
        <v>109</v>
      </c>
      <c r="B92" s="73" t="s">
        <v>47</v>
      </c>
      <c r="C92" s="2"/>
      <c r="D92" s="76">
        <v>35.22</v>
      </c>
      <c r="E92" s="4">
        <v>10.02</v>
      </c>
      <c r="F92" s="4">
        <v>12.5</v>
      </c>
      <c r="G92" s="5">
        <f t="shared" si="44"/>
        <v>352.90439999999995</v>
      </c>
      <c r="H92" s="5">
        <f t="shared" si="45"/>
        <v>2.8176000000000001</v>
      </c>
      <c r="I92" s="24">
        <v>0.8</v>
      </c>
      <c r="J92" s="66">
        <f>F92/F91-1</f>
        <v>6.5643648763853424E-2</v>
      </c>
      <c r="K92" s="26">
        <f t="shared" si="46"/>
        <v>2.2714366837024418E-2</v>
      </c>
      <c r="L92" s="27">
        <f t="shared" si="47"/>
        <v>1.6205456095481678</v>
      </c>
      <c r="M92" s="27">
        <f t="shared" si="48"/>
        <v>1.3972055888223553</v>
      </c>
      <c r="N92" s="26">
        <f t="shared" si="49"/>
        <v>0.12964364876385343</v>
      </c>
      <c r="O92" s="27">
        <f t="shared" si="50"/>
        <v>1.7964071856287427</v>
      </c>
      <c r="P92" s="28">
        <f t="shared" si="51"/>
        <v>25.207457142857141</v>
      </c>
      <c r="Q92" s="4">
        <v>75.7</v>
      </c>
      <c r="R92" s="4">
        <v>37.700000000000003</v>
      </c>
      <c r="S92" s="4">
        <v>18.3</v>
      </c>
      <c r="T92" s="4">
        <v>18</v>
      </c>
      <c r="U92" s="4">
        <v>18</v>
      </c>
      <c r="V92" s="29">
        <f t="shared" si="52"/>
        <v>1</v>
      </c>
      <c r="W92" s="24">
        <v>14</v>
      </c>
      <c r="X92" s="4">
        <v>13.6</v>
      </c>
      <c r="Y92" s="4">
        <v>4.28</v>
      </c>
      <c r="Z92" s="2">
        <v>5.47</v>
      </c>
      <c r="AA92" s="4">
        <v>0.2</v>
      </c>
      <c r="AB92" s="4">
        <v>66.2</v>
      </c>
      <c r="AC92" s="4">
        <v>7.15</v>
      </c>
      <c r="AD92" s="4">
        <v>14.4</v>
      </c>
      <c r="AE92" s="4">
        <v>0.7</v>
      </c>
      <c r="AF92" s="4">
        <v>15.29</v>
      </c>
      <c r="AG92" s="4"/>
      <c r="AH92" s="4">
        <v>0</v>
      </c>
      <c r="AI92" s="4">
        <v>0</v>
      </c>
      <c r="AJ92" s="4">
        <v>156</v>
      </c>
      <c r="AK92" s="4">
        <v>126.5</v>
      </c>
      <c r="AL92" s="4">
        <v>63.9</v>
      </c>
      <c r="AM92" s="4">
        <v>26.9</v>
      </c>
      <c r="AN92" s="5">
        <f t="shared" si="53"/>
        <v>129.1</v>
      </c>
      <c r="AO92" s="30">
        <v>18.16</v>
      </c>
      <c r="AP92" s="4">
        <v>1.33</v>
      </c>
      <c r="AQ92" s="4">
        <v>3.79</v>
      </c>
      <c r="AR92" s="4">
        <v>1.28</v>
      </c>
      <c r="AS92" s="28">
        <f t="shared" si="54"/>
        <v>2.1333333333333333</v>
      </c>
      <c r="AT92" s="32">
        <v>18</v>
      </c>
      <c r="AU92" s="32">
        <v>23</v>
      </c>
      <c r="AV92" s="32">
        <v>21</v>
      </c>
      <c r="AW92" s="32">
        <v>18</v>
      </c>
      <c r="AX92" s="32">
        <v>16</v>
      </c>
      <c r="AY92" s="32">
        <v>24</v>
      </c>
      <c r="AZ92" s="33">
        <f t="shared" si="37"/>
        <v>1.0689655172413792</v>
      </c>
      <c r="BA92" s="34">
        <f t="shared" si="55"/>
        <v>20.666666666666668</v>
      </c>
      <c r="BB92" s="41">
        <f t="shared" si="38"/>
        <v>18.533333333333335</v>
      </c>
      <c r="BC92" s="34">
        <f t="shared" si="39"/>
        <v>66.900000000000006</v>
      </c>
      <c r="BD92" s="43">
        <f t="shared" si="40"/>
        <v>31.359375000000004</v>
      </c>
      <c r="BE92" s="35">
        <f t="shared" si="56"/>
        <v>0.18956975316828018</v>
      </c>
      <c r="BF92" t="str">
        <f t="shared" si="57"/>
        <v>鱼跃医疗</v>
      </c>
    </row>
    <row r="93" spans="1:58" x14ac:dyDescent="0.2">
      <c r="A93" s="1" t="s">
        <v>110</v>
      </c>
      <c r="B93" s="2" t="s">
        <v>46</v>
      </c>
      <c r="C93" s="2"/>
      <c r="D93" s="76">
        <v>223</v>
      </c>
      <c r="E93" s="4">
        <v>12.12</v>
      </c>
      <c r="F93" s="4">
        <v>32.200000000000003</v>
      </c>
      <c r="G93" s="5">
        <f t="shared" si="44"/>
        <v>2702.7599999999998</v>
      </c>
      <c r="H93" s="5">
        <f t="shared" si="45"/>
        <v>6.9254658385093162</v>
      </c>
      <c r="I93" s="24">
        <v>4.93</v>
      </c>
      <c r="J93" s="66">
        <v>0.08</v>
      </c>
      <c r="K93" s="26">
        <f t="shared" si="46"/>
        <v>2.2107623318385648E-2</v>
      </c>
      <c r="L93" s="27">
        <f t="shared" si="47"/>
        <v>7.5060000000000002</v>
      </c>
      <c r="M93" s="27">
        <f t="shared" si="48"/>
        <v>9.4059405940594072</v>
      </c>
      <c r="N93" s="26">
        <f t="shared" si="49"/>
        <v>0.23310559006211179</v>
      </c>
      <c r="O93" s="27">
        <f t="shared" si="50"/>
        <v>9.653465346534654</v>
      </c>
      <c r="P93" s="28">
        <f t="shared" si="51"/>
        <v>23.708421052631579</v>
      </c>
      <c r="Q93" s="4">
        <v>367</v>
      </c>
      <c r="R93" s="4">
        <v>135</v>
      </c>
      <c r="S93" s="4">
        <v>131</v>
      </c>
      <c r="T93" s="4">
        <v>117</v>
      </c>
      <c r="U93" s="4">
        <v>117</v>
      </c>
      <c r="V93" s="29">
        <f t="shared" si="52"/>
        <v>1</v>
      </c>
      <c r="W93" s="4">
        <v>114</v>
      </c>
      <c r="X93" s="4">
        <v>53</v>
      </c>
      <c r="Y93" s="4">
        <v>16</v>
      </c>
      <c r="Z93" s="2">
        <v>37</v>
      </c>
      <c r="AA93" s="4">
        <v>0.2</v>
      </c>
      <c r="AB93" s="4">
        <v>166</v>
      </c>
      <c r="AC93" s="4">
        <v>32</v>
      </c>
      <c r="AD93" s="4">
        <v>48</v>
      </c>
      <c r="AE93" s="4">
        <v>2</v>
      </c>
      <c r="AF93" s="4">
        <v>28</v>
      </c>
      <c r="AG93" s="4"/>
      <c r="AH93" s="4">
        <v>0</v>
      </c>
      <c r="AI93" s="4">
        <v>0</v>
      </c>
      <c r="AJ93" s="4">
        <v>566</v>
      </c>
      <c r="AK93" s="4">
        <v>408</v>
      </c>
      <c r="AL93" s="4">
        <v>310</v>
      </c>
      <c r="AM93" s="4">
        <v>104</v>
      </c>
      <c r="AN93" s="5">
        <v>222</v>
      </c>
      <c r="AO93" s="30">
        <v>124</v>
      </c>
      <c r="AP93" s="4">
        <v>20</v>
      </c>
      <c r="AQ93" s="4">
        <v>27</v>
      </c>
      <c r="AR93" s="4">
        <v>19.2</v>
      </c>
      <c r="AS93" s="28">
        <f t="shared" si="54"/>
        <v>22.066666666666666</v>
      </c>
      <c r="AT93" s="32">
        <v>124</v>
      </c>
      <c r="AU93" s="32">
        <v>121</v>
      </c>
      <c r="AV93" s="32">
        <v>111</v>
      </c>
      <c r="AW93" s="32">
        <v>117</v>
      </c>
      <c r="AX93" s="32">
        <v>96</v>
      </c>
      <c r="AY93" s="32">
        <v>116</v>
      </c>
      <c r="AZ93" s="33">
        <f t="shared" si="37"/>
        <v>1.0820668693009119</v>
      </c>
      <c r="BA93" s="34">
        <f t="shared" si="55"/>
        <v>118.66666666666667</v>
      </c>
      <c r="BB93" s="41">
        <f t="shared" si="38"/>
        <v>96.600000000000009</v>
      </c>
      <c r="BC93" s="34">
        <f t="shared" si="39"/>
        <v>168</v>
      </c>
      <c r="BD93" s="28">
        <f t="shared" si="40"/>
        <v>7.6132930513595163</v>
      </c>
      <c r="BE93" s="35">
        <f t="shared" si="56"/>
        <v>6.2158682235936603E-2</v>
      </c>
      <c r="BF93" t="str">
        <f t="shared" si="57"/>
        <v>迈瑞医疗</v>
      </c>
    </row>
    <row r="94" spans="1:58" x14ac:dyDescent="0.2">
      <c r="A94" s="1" t="s">
        <v>111</v>
      </c>
      <c r="B94" s="2" t="s">
        <v>46</v>
      </c>
      <c r="C94" s="2"/>
      <c r="D94" s="76">
        <v>22</v>
      </c>
      <c r="E94" s="4">
        <v>96.95</v>
      </c>
      <c r="F94" s="4">
        <v>9.7799999999999994</v>
      </c>
      <c r="G94" s="5">
        <f t="shared" si="44"/>
        <v>2132.9</v>
      </c>
      <c r="H94" s="5">
        <f t="shared" si="45"/>
        <v>2.2494887525562373</v>
      </c>
      <c r="I94" s="24">
        <v>1.3149999999999999</v>
      </c>
      <c r="J94" s="66">
        <v>0.1</v>
      </c>
      <c r="K94" s="26">
        <f t="shared" si="46"/>
        <v>5.9772727272727269E-2</v>
      </c>
      <c r="L94" s="27">
        <f t="shared" si="47"/>
        <v>2.2930000000000001</v>
      </c>
      <c r="M94" s="27">
        <f t="shared" si="48"/>
        <v>2.5477050025786485</v>
      </c>
      <c r="N94" s="26">
        <f t="shared" si="49"/>
        <v>0.2344580777096115</v>
      </c>
      <c r="O94" s="27">
        <f t="shared" si="50"/>
        <v>2.186694172253739</v>
      </c>
      <c r="P94" s="28">
        <f t="shared" si="51"/>
        <v>8.6352226720647778</v>
      </c>
      <c r="Q94" s="4">
        <v>1709</v>
      </c>
      <c r="R94" s="4">
        <v>1062</v>
      </c>
      <c r="S94" s="4">
        <v>442</v>
      </c>
      <c r="T94" s="4">
        <v>359</v>
      </c>
      <c r="U94" s="4">
        <v>212</v>
      </c>
      <c r="V94" s="29">
        <f t="shared" si="52"/>
        <v>0.59052924791086348</v>
      </c>
      <c r="W94" s="4">
        <v>247</v>
      </c>
      <c r="X94" s="4">
        <v>8.41</v>
      </c>
      <c r="Y94" s="4">
        <v>78</v>
      </c>
      <c r="Z94" s="2">
        <v>7.34</v>
      </c>
      <c r="AA94" s="4">
        <v>3.23</v>
      </c>
      <c r="AB94" s="4">
        <v>380</v>
      </c>
      <c r="AC94" s="4"/>
      <c r="AD94" s="4"/>
      <c r="AE94" s="4">
        <v>204</v>
      </c>
      <c r="AF94" s="4"/>
      <c r="AG94" s="4"/>
      <c r="AH94" s="4">
        <v>0</v>
      </c>
      <c r="AI94" s="4">
        <v>29</v>
      </c>
      <c r="AJ94" s="4">
        <v>1939</v>
      </c>
      <c r="AK94" s="4">
        <v>1241</v>
      </c>
      <c r="AL94" s="4">
        <v>1764</v>
      </c>
      <c r="AM94" s="4">
        <v>578</v>
      </c>
      <c r="AN94" s="5">
        <f t="shared" si="53"/>
        <v>1361</v>
      </c>
      <c r="AO94" s="30">
        <v>424</v>
      </c>
      <c r="AP94" s="4">
        <v>139</v>
      </c>
      <c r="AQ94" s="4">
        <v>130</v>
      </c>
      <c r="AR94" s="4">
        <v>102</v>
      </c>
      <c r="AS94" s="28">
        <f t="shared" si="54"/>
        <v>123.66666666666667</v>
      </c>
      <c r="AT94" s="32">
        <v>526</v>
      </c>
      <c r="AU94" s="32">
        <v>561</v>
      </c>
      <c r="AV94" s="32">
        <v>386</v>
      </c>
      <c r="AW94" s="32">
        <v>214</v>
      </c>
      <c r="AX94" s="32">
        <v>352</v>
      </c>
      <c r="AY94" s="32">
        <v>212</v>
      </c>
      <c r="AZ94" s="33">
        <f t="shared" si="37"/>
        <v>1.8933161953727506</v>
      </c>
      <c r="BA94" s="34">
        <f t="shared" si="55"/>
        <v>491</v>
      </c>
      <c r="BB94" s="41">
        <f t="shared" si="38"/>
        <v>367.33333333333331</v>
      </c>
      <c r="BC94" s="34">
        <f t="shared" si="39"/>
        <v>555</v>
      </c>
      <c r="BD94" s="43">
        <f t="shared" si="40"/>
        <v>4.4878706199460918</v>
      </c>
      <c r="BE94" s="44">
        <f t="shared" si="56"/>
        <v>0.26020910497444794</v>
      </c>
      <c r="BF94" t="str">
        <f t="shared" si="57"/>
        <v>陕西煤业</v>
      </c>
    </row>
    <row r="95" spans="1:58" x14ac:dyDescent="0.2">
      <c r="A95" s="77" t="s">
        <v>112</v>
      </c>
      <c r="B95" s="2" t="s">
        <v>46</v>
      </c>
      <c r="C95" s="2"/>
      <c r="D95" s="76">
        <v>43.6</v>
      </c>
      <c r="E95" s="4">
        <v>198.69</v>
      </c>
      <c r="F95" s="4">
        <v>20.57</v>
      </c>
      <c r="G95" s="5">
        <f t="shared" si="44"/>
        <v>8662.884</v>
      </c>
      <c r="H95" s="78">
        <f>D95/F95</f>
        <v>2.1195916383082158</v>
      </c>
      <c r="I95" s="24">
        <v>2.2599999999999998</v>
      </c>
      <c r="J95" s="66">
        <v>0.04</v>
      </c>
      <c r="K95" s="26">
        <f t="shared" si="46"/>
        <v>5.1834862385321097E-2</v>
      </c>
      <c r="L95" s="27">
        <f t="shared" si="47"/>
        <v>3.0827999999999998</v>
      </c>
      <c r="M95" s="27">
        <f t="shared" si="48"/>
        <v>3.1657355679702048</v>
      </c>
      <c r="N95" s="26">
        <f t="shared" si="49"/>
        <v>0.14986874088478366</v>
      </c>
      <c r="O95" s="27">
        <f t="shared" si="50"/>
        <v>3.0046806583119432</v>
      </c>
      <c r="P95" s="28">
        <f t="shared" si="51"/>
        <v>13.772470588235294</v>
      </c>
      <c r="Q95" s="4">
        <v>3431</v>
      </c>
      <c r="R95" s="4">
        <v>2199</v>
      </c>
      <c r="S95" s="4">
        <v>914</v>
      </c>
      <c r="T95" s="4">
        <v>696</v>
      </c>
      <c r="U95" s="4">
        <v>597</v>
      </c>
      <c r="V95" s="29">
        <f t="shared" si="52"/>
        <v>0.85775862068965514</v>
      </c>
      <c r="W95" s="4">
        <v>629</v>
      </c>
      <c r="X95" s="4">
        <v>4.25</v>
      </c>
      <c r="Y95" s="4">
        <v>98</v>
      </c>
      <c r="Z95" s="2">
        <v>30</v>
      </c>
      <c r="AA95" s="4">
        <v>28.6</v>
      </c>
      <c r="AB95" s="4">
        <v>1500</v>
      </c>
      <c r="AC95" s="4">
        <v>199</v>
      </c>
      <c r="AD95" s="4">
        <v>128</v>
      </c>
      <c r="AE95" s="4">
        <v>580</v>
      </c>
      <c r="AF95" s="4">
        <v>389</v>
      </c>
      <c r="AG95" s="4"/>
      <c r="AH95" s="4">
        <v>30</v>
      </c>
      <c r="AI95" s="4">
        <v>300</v>
      </c>
      <c r="AJ95" s="4">
        <v>6300</v>
      </c>
      <c r="AK95" s="4">
        <v>4087</v>
      </c>
      <c r="AL95" s="4">
        <v>4311</v>
      </c>
      <c r="AM95" s="4">
        <v>916</v>
      </c>
      <c r="AN95" s="5">
        <f t="shared" si="53"/>
        <v>5384</v>
      </c>
      <c r="AO95" s="30">
        <v>897</v>
      </c>
      <c r="AP95" s="4">
        <v>371</v>
      </c>
      <c r="AQ95" s="4">
        <v>287</v>
      </c>
      <c r="AR95" s="4">
        <v>236</v>
      </c>
      <c r="AS95" s="28">
        <f t="shared" si="54"/>
        <v>298</v>
      </c>
      <c r="AT95" s="32">
        <v>943</v>
      </c>
      <c r="AU95" s="32">
        <v>1097</v>
      </c>
      <c r="AV95" s="32">
        <v>897</v>
      </c>
      <c r="AW95" s="32">
        <v>696</v>
      </c>
      <c r="AX95" s="32">
        <v>817</v>
      </c>
      <c r="AY95" s="32">
        <v>591</v>
      </c>
      <c r="AZ95" s="33">
        <f t="shared" si="37"/>
        <v>1.395912547528517</v>
      </c>
      <c r="BA95" s="34">
        <f t="shared" si="55"/>
        <v>979</v>
      </c>
      <c r="BB95" s="41">
        <f t="shared" si="38"/>
        <v>681</v>
      </c>
      <c r="BC95" s="34">
        <f t="shared" si="39"/>
        <v>1750</v>
      </c>
      <c r="BD95" s="28">
        <f t="shared" si="40"/>
        <v>5.8724832214765099</v>
      </c>
      <c r="BE95" s="35">
        <f t="shared" si="56"/>
        <v>0.20201124706275647</v>
      </c>
      <c r="BF95" t="str">
        <f t="shared" si="57"/>
        <v>中国神化</v>
      </c>
    </row>
    <row r="96" spans="1:58" x14ac:dyDescent="0.2">
      <c r="A96" s="1" t="s">
        <v>112</v>
      </c>
      <c r="B96" s="73" t="s">
        <v>47</v>
      </c>
      <c r="C96" s="2"/>
      <c r="D96" s="76">
        <v>43</v>
      </c>
      <c r="E96" s="4">
        <v>198.69</v>
      </c>
      <c r="F96" s="4">
        <v>21.48</v>
      </c>
      <c r="G96" s="5">
        <f t="shared" si="44"/>
        <v>8543.67</v>
      </c>
      <c r="H96" s="79">
        <f t="shared" si="45"/>
        <v>2.0018621973929238</v>
      </c>
      <c r="I96" s="24">
        <v>2.2599999999999998</v>
      </c>
      <c r="J96" s="66">
        <f>F96/F95-1</f>
        <v>4.4239183276616467E-2</v>
      </c>
      <c r="K96" s="26">
        <f t="shared" si="46"/>
        <v>5.2558139534883717E-2</v>
      </c>
      <c r="L96" s="27">
        <f t="shared" si="47"/>
        <v>3.2102576567817214</v>
      </c>
      <c r="M96" s="27">
        <f t="shared" si="48"/>
        <v>3.0248125220192259</v>
      </c>
      <c r="N96" s="26">
        <f t="shared" si="49"/>
        <v>0.14945333597680266</v>
      </c>
      <c r="O96" s="27">
        <f t="shared" si="50"/>
        <v>2.9543509990437364</v>
      </c>
      <c r="P96" s="28">
        <f t="shared" si="51"/>
        <v>14.21575707154742</v>
      </c>
      <c r="Q96" s="4">
        <v>3384</v>
      </c>
      <c r="R96" s="4">
        <v>2231</v>
      </c>
      <c r="S96" s="4">
        <v>883.6</v>
      </c>
      <c r="T96" s="4">
        <v>688.65</v>
      </c>
      <c r="U96" s="4">
        <v>587</v>
      </c>
      <c r="V96" s="29">
        <f t="shared" si="52"/>
        <v>0.85239236186742184</v>
      </c>
      <c r="W96" s="4">
        <v>601</v>
      </c>
      <c r="X96" s="4">
        <v>4.91</v>
      </c>
      <c r="Y96" s="4">
        <v>103.4</v>
      </c>
      <c r="Z96" s="2">
        <v>27.3</v>
      </c>
      <c r="AA96" s="4">
        <v>27</v>
      </c>
      <c r="AB96" s="4">
        <f>1424+173</f>
        <v>1597</v>
      </c>
      <c r="AC96" s="4">
        <v>155</v>
      </c>
      <c r="AD96" s="4">
        <v>125</v>
      </c>
      <c r="AE96" s="4">
        <f>598+28</f>
        <v>626</v>
      </c>
      <c r="AF96" s="4">
        <v>382</v>
      </c>
      <c r="AG96" s="4"/>
      <c r="AH96" s="4">
        <v>10</v>
      </c>
      <c r="AI96" s="4">
        <v>289</v>
      </c>
      <c r="AJ96" s="4">
        <v>6580</v>
      </c>
      <c r="AK96" s="4">
        <v>4268</v>
      </c>
      <c r="AL96" s="4">
        <v>4609</v>
      </c>
      <c r="AM96" s="4">
        <v>1051</v>
      </c>
      <c r="AN96" s="5">
        <f t="shared" si="53"/>
        <v>5529</v>
      </c>
      <c r="AO96" s="30">
        <v>933</v>
      </c>
      <c r="AP96" s="4">
        <v>371</v>
      </c>
      <c r="AQ96" s="4">
        <v>370</v>
      </c>
      <c r="AR96" s="4">
        <v>287</v>
      </c>
      <c r="AS96" s="28">
        <f t="shared" si="54"/>
        <v>342.66666666666669</v>
      </c>
      <c r="AT96" s="32">
        <v>1097</v>
      </c>
      <c r="AU96" s="32">
        <v>897</v>
      </c>
      <c r="AV96" s="32">
        <v>933</v>
      </c>
      <c r="AW96" s="32">
        <v>689</v>
      </c>
      <c r="AX96" s="32">
        <v>696</v>
      </c>
      <c r="AY96" s="32">
        <v>817</v>
      </c>
      <c r="AZ96" s="33">
        <f t="shared" si="37"/>
        <v>1.3292461398728428</v>
      </c>
      <c r="BA96" s="34">
        <f t="shared" si="55"/>
        <v>975.66666666666663</v>
      </c>
      <c r="BB96" s="41">
        <f t="shared" si="38"/>
        <v>633</v>
      </c>
      <c r="BC96" s="34">
        <f t="shared" si="39"/>
        <v>1924</v>
      </c>
      <c r="BD96" s="43">
        <f t="shared" si="40"/>
        <v>5.6147859922178984</v>
      </c>
      <c r="BE96" s="35">
        <f t="shared" si="56"/>
        <v>0.22519596379541812</v>
      </c>
      <c r="BF96" t="str">
        <f t="shared" si="57"/>
        <v>中国神化</v>
      </c>
    </row>
    <row r="97" spans="1:58" x14ac:dyDescent="0.2">
      <c r="A97" s="65" t="s">
        <v>113</v>
      </c>
      <c r="B97" s="2" t="s">
        <v>46</v>
      </c>
      <c r="C97" s="2"/>
      <c r="D97" s="56">
        <v>118</v>
      </c>
      <c r="E97" s="4">
        <v>38.83</v>
      </c>
      <c r="F97" s="4">
        <v>37</v>
      </c>
      <c r="G97" s="5">
        <f t="shared" si="44"/>
        <v>4581.9399999999996</v>
      </c>
      <c r="H97" s="5">
        <f t="shared" si="45"/>
        <v>3.189189189189189</v>
      </c>
      <c r="I97" s="24">
        <v>4.67</v>
      </c>
      <c r="J97" s="66">
        <v>0.15</v>
      </c>
      <c r="K97" s="26">
        <f t="shared" si="46"/>
        <v>3.9576271186440679E-2</v>
      </c>
      <c r="L97" s="27">
        <f t="shared" si="47"/>
        <v>10.219999999999999</v>
      </c>
      <c r="M97" s="27">
        <f t="shared" si="48"/>
        <v>7.7517383466391969</v>
      </c>
      <c r="N97" s="26">
        <f t="shared" si="49"/>
        <v>0.27621621621621617</v>
      </c>
      <c r="O97" s="27">
        <f t="shared" si="50"/>
        <v>7.7774916301828485</v>
      </c>
      <c r="P97" s="28">
        <f t="shared" si="51"/>
        <v>15.222392026578072</v>
      </c>
      <c r="Q97" s="4">
        <v>833</v>
      </c>
      <c r="R97" s="4">
        <v>202</v>
      </c>
      <c r="S97" s="4">
        <v>420</v>
      </c>
      <c r="T97" s="4">
        <v>315</v>
      </c>
      <c r="U97" s="4">
        <v>302</v>
      </c>
      <c r="V97" s="29">
        <f t="shared" si="52"/>
        <v>0.95873015873015877</v>
      </c>
      <c r="W97" s="4">
        <v>301</v>
      </c>
      <c r="X97" s="4">
        <v>78</v>
      </c>
      <c r="Y97" s="4">
        <v>33</v>
      </c>
      <c r="Z97" s="2">
        <v>3.22</v>
      </c>
      <c r="AA97" s="4">
        <v>0.1</v>
      </c>
      <c r="AB97" s="4">
        <v>1158</v>
      </c>
      <c r="AC97" s="4"/>
      <c r="AD97" s="4"/>
      <c r="AE97" s="4">
        <v>20</v>
      </c>
      <c r="AF97" s="4"/>
      <c r="AG97" s="4"/>
      <c r="AH97" s="4">
        <v>0</v>
      </c>
      <c r="AI97" s="4">
        <v>0</v>
      </c>
      <c r="AJ97" s="4">
        <v>1654</v>
      </c>
      <c r="AK97" s="4">
        <v>1323</v>
      </c>
      <c r="AL97" s="4">
        <v>225</v>
      </c>
      <c r="AM97" s="4">
        <v>510</v>
      </c>
      <c r="AN97" s="5">
        <f t="shared" si="53"/>
        <v>1144</v>
      </c>
      <c r="AO97" s="30">
        <v>417</v>
      </c>
      <c r="AP97" s="4">
        <v>30</v>
      </c>
      <c r="AQ97" s="4">
        <v>18</v>
      </c>
      <c r="AR97" s="4">
        <v>15</v>
      </c>
      <c r="AS97" s="28">
        <f t="shared" si="54"/>
        <v>21</v>
      </c>
      <c r="AT97" s="32">
        <v>268</v>
      </c>
      <c r="AU97" s="32">
        <v>244</v>
      </c>
      <c r="AV97" s="32">
        <v>417</v>
      </c>
      <c r="AW97" s="32">
        <v>234</v>
      </c>
      <c r="AX97" s="32">
        <v>267</v>
      </c>
      <c r="AY97" s="32">
        <v>302</v>
      </c>
      <c r="AZ97" s="33">
        <f t="shared" si="37"/>
        <v>1.1569115815691158</v>
      </c>
      <c r="BA97" s="34">
        <f t="shared" si="55"/>
        <v>309.66666666666669</v>
      </c>
      <c r="BB97" s="41">
        <f t="shared" si="38"/>
        <v>288.66666666666669</v>
      </c>
      <c r="BC97" s="34">
        <f t="shared" si="39"/>
        <v>1178</v>
      </c>
      <c r="BD97" s="43">
        <f t="shared" si="40"/>
        <v>56.095238095238095</v>
      </c>
      <c r="BE97" s="44">
        <f t="shared" si="56"/>
        <v>0.25709633910526986</v>
      </c>
      <c r="BF97" t="str">
        <f t="shared" si="57"/>
        <v>五粮液</v>
      </c>
    </row>
    <row r="98" spans="1:58" x14ac:dyDescent="0.2">
      <c r="A98" s="1" t="s">
        <v>114</v>
      </c>
      <c r="B98" s="2" t="s">
        <v>46</v>
      </c>
      <c r="C98" s="2"/>
      <c r="D98" s="76">
        <v>1432</v>
      </c>
      <c r="E98" s="4">
        <v>12.56</v>
      </c>
      <c r="F98" s="4">
        <v>190.84</v>
      </c>
      <c r="G98" s="5">
        <f t="shared" si="44"/>
        <v>17985.920000000002</v>
      </c>
      <c r="H98" s="5">
        <f t="shared" si="45"/>
        <v>7.5036679941312094</v>
      </c>
      <c r="I98" s="24">
        <v>26</v>
      </c>
      <c r="J98" s="66">
        <v>0.1</v>
      </c>
      <c r="K98" s="26">
        <f t="shared" si="46"/>
        <v>1.8156424581005588E-2</v>
      </c>
      <c r="L98" s="27">
        <f t="shared" si="47"/>
        <v>45.084000000000003</v>
      </c>
      <c r="M98" s="27">
        <f t="shared" si="48"/>
        <v>59.514331210191081</v>
      </c>
      <c r="N98" s="26">
        <f t="shared" si="49"/>
        <v>0.23623978201634879</v>
      </c>
      <c r="O98" s="27">
        <f t="shared" si="50"/>
        <v>59.474522292993626</v>
      </c>
      <c r="P98" s="28">
        <f t="shared" si="51"/>
        <v>24.061431438127094</v>
      </c>
      <c r="Q98" s="4">
        <v>1506</v>
      </c>
      <c r="R98" s="4">
        <v>118.67</v>
      </c>
      <c r="S98" s="4">
        <v>1037</v>
      </c>
      <c r="T98" s="4">
        <v>775</v>
      </c>
      <c r="U98" s="4">
        <v>747</v>
      </c>
      <c r="V98" s="29">
        <f t="shared" si="52"/>
        <v>0.96387096774193548</v>
      </c>
      <c r="W98" s="4">
        <v>747.5</v>
      </c>
      <c r="X98" s="4">
        <v>46.5</v>
      </c>
      <c r="Y98" s="4">
        <v>97.3</v>
      </c>
      <c r="Z98" s="2">
        <v>1.57</v>
      </c>
      <c r="AA98" s="4">
        <v>0.1</v>
      </c>
      <c r="AB98" s="4">
        <v>695</v>
      </c>
      <c r="AC98" s="4"/>
      <c r="AD98" s="4"/>
      <c r="AE98" s="4">
        <v>40</v>
      </c>
      <c r="AF98" s="4"/>
      <c r="AG98" s="4"/>
      <c r="AH98" s="4">
        <v>0</v>
      </c>
      <c r="AI98" s="4">
        <v>0</v>
      </c>
      <c r="AJ98" s="4">
        <v>2727</v>
      </c>
      <c r="AK98" s="4">
        <v>2157</v>
      </c>
      <c r="AL98" s="4">
        <v>472</v>
      </c>
      <c r="AM98" s="4">
        <v>565</v>
      </c>
      <c r="AN98" s="5">
        <f t="shared" si="53"/>
        <v>2162</v>
      </c>
      <c r="AO98" s="30">
        <v>666</v>
      </c>
      <c r="AP98" s="4">
        <v>26</v>
      </c>
      <c r="AQ98" s="4"/>
      <c r="AR98" s="4"/>
      <c r="AS98" s="28">
        <f t="shared" si="54"/>
        <v>26</v>
      </c>
      <c r="AT98" s="32">
        <v>640</v>
      </c>
      <c r="AU98" s="32">
        <v>367</v>
      </c>
      <c r="AV98" s="32">
        <v>666</v>
      </c>
      <c r="AW98" s="32">
        <v>525</v>
      </c>
      <c r="AX98" s="32">
        <v>627</v>
      </c>
      <c r="AY98" s="32">
        <v>747</v>
      </c>
      <c r="AZ98" s="33">
        <f t="shared" si="37"/>
        <v>0.88098999473407058</v>
      </c>
      <c r="BA98" s="34">
        <f t="shared" si="55"/>
        <v>557.66666666666663</v>
      </c>
      <c r="BB98" s="41">
        <f t="shared" si="38"/>
        <v>531.66666666666663</v>
      </c>
      <c r="BC98" s="34">
        <f t="shared" si="39"/>
        <v>735</v>
      </c>
      <c r="BD98" s="28">
        <f t="shared" si="40"/>
        <v>28.26923076923077</v>
      </c>
      <c r="BE98" s="35">
        <f t="shared" si="56"/>
        <v>4.0865299078390205E-2</v>
      </c>
      <c r="BF98" t="str">
        <f t="shared" si="57"/>
        <v>贵州茅台</v>
      </c>
    </row>
    <row r="99" spans="1:58" x14ac:dyDescent="0.2">
      <c r="A99" s="1" t="s">
        <v>115</v>
      </c>
      <c r="B99" s="2" t="s">
        <v>46</v>
      </c>
      <c r="C99" s="2"/>
      <c r="D99" s="76">
        <v>65.7</v>
      </c>
      <c r="E99" s="4">
        <v>15.06</v>
      </c>
      <c r="F99" s="4">
        <v>38.49</v>
      </c>
      <c r="G99" s="5">
        <f t="shared" si="44"/>
        <v>989.44200000000012</v>
      </c>
      <c r="H99" s="5">
        <f t="shared" si="45"/>
        <v>1.7069368667186282</v>
      </c>
      <c r="I99" s="24">
        <v>3.7410000000000001</v>
      </c>
      <c r="J99" s="66">
        <v>0.1</v>
      </c>
      <c r="K99" s="26">
        <f t="shared" si="46"/>
        <v>5.6940639269406394E-2</v>
      </c>
      <c r="L99" s="27">
        <f t="shared" si="47"/>
        <v>7.59</v>
      </c>
      <c r="M99" s="27">
        <f t="shared" si="48"/>
        <v>6.5073041168658694</v>
      </c>
      <c r="N99" s="26">
        <f t="shared" si="49"/>
        <v>0.19719407638347622</v>
      </c>
      <c r="O99" s="27">
        <f t="shared" si="50"/>
        <v>6.6401062416998666</v>
      </c>
      <c r="P99" s="28">
        <f t="shared" si="51"/>
        <v>10.096346938775511</v>
      </c>
      <c r="Q99" s="4">
        <v>331</v>
      </c>
      <c r="R99" s="4">
        <v>82</v>
      </c>
      <c r="S99" s="4">
        <v>132</v>
      </c>
      <c r="T99" s="4">
        <v>100</v>
      </c>
      <c r="U99" s="4">
        <v>100</v>
      </c>
      <c r="V99" s="29">
        <f t="shared" si="52"/>
        <v>1</v>
      </c>
      <c r="W99" s="4">
        <v>98</v>
      </c>
      <c r="X99" s="4">
        <v>54</v>
      </c>
      <c r="Y99" s="4">
        <v>17.600000000000001</v>
      </c>
      <c r="Z99" s="2">
        <v>2.85</v>
      </c>
      <c r="AA99" s="4">
        <v>0</v>
      </c>
      <c r="AB99" s="4">
        <v>316</v>
      </c>
      <c r="AC99" s="4"/>
      <c r="AD99" s="4"/>
      <c r="AE99" s="4">
        <v>12.3</v>
      </c>
      <c r="AF99" s="4"/>
      <c r="AG99" s="4"/>
      <c r="AH99" s="4">
        <v>0</v>
      </c>
      <c r="AI99" s="4">
        <v>0</v>
      </c>
      <c r="AJ99" s="4">
        <v>698</v>
      </c>
      <c r="AK99" s="4">
        <v>521</v>
      </c>
      <c r="AL99" s="4">
        <v>170</v>
      </c>
      <c r="AM99" s="4">
        <v>153</v>
      </c>
      <c r="AN99" s="5">
        <f t="shared" si="53"/>
        <v>545</v>
      </c>
      <c r="AO99" s="30">
        <v>61</v>
      </c>
      <c r="AP99" s="4">
        <v>11</v>
      </c>
      <c r="AQ99" s="4"/>
      <c r="AR99" s="4"/>
      <c r="AS99" s="28">
        <f t="shared" si="54"/>
        <v>11</v>
      </c>
      <c r="AT99" s="32">
        <v>153</v>
      </c>
      <c r="AU99" s="32">
        <v>36</v>
      </c>
      <c r="AV99" s="32">
        <v>61</v>
      </c>
      <c r="AW99" s="32">
        <v>75</v>
      </c>
      <c r="AX99" s="32">
        <v>94</v>
      </c>
      <c r="AY99" s="32">
        <v>100</v>
      </c>
      <c r="AZ99" s="33">
        <f t="shared" si="37"/>
        <v>0.92936802973977695</v>
      </c>
      <c r="BA99" s="34">
        <f t="shared" si="55"/>
        <v>83.333333333333329</v>
      </c>
      <c r="BB99" s="41">
        <f t="shared" si="38"/>
        <v>72.333333333333329</v>
      </c>
      <c r="BC99" s="34">
        <f t="shared" si="39"/>
        <v>328.3</v>
      </c>
      <c r="BD99" s="28">
        <f t="shared" si="40"/>
        <v>29.845454545454547</v>
      </c>
      <c r="BE99" s="35">
        <f t="shared" si="56"/>
        <v>0.33180317795282593</v>
      </c>
      <c r="BF99" t="str">
        <f t="shared" si="57"/>
        <v>洋河股份</v>
      </c>
    </row>
    <row r="100" spans="1:58" x14ac:dyDescent="0.2">
      <c r="A100" s="77" t="s">
        <v>116</v>
      </c>
      <c r="B100" s="2" t="s">
        <v>46</v>
      </c>
      <c r="C100" s="2"/>
      <c r="D100" s="76">
        <v>263</v>
      </c>
      <c r="E100" s="4">
        <v>4</v>
      </c>
      <c r="F100" s="4">
        <v>15.81</v>
      </c>
      <c r="G100" s="5">
        <f t="shared" si="44"/>
        <v>1052</v>
      </c>
      <c r="H100" s="5">
        <f t="shared" si="45"/>
        <v>16.635041113219479</v>
      </c>
      <c r="I100" s="24">
        <v>2.5</v>
      </c>
      <c r="J100" s="66">
        <v>0.22500000000000001</v>
      </c>
      <c r="K100" s="26">
        <f t="shared" si="46"/>
        <v>9.5057034220532317E-3</v>
      </c>
      <c r="L100" s="27">
        <f t="shared" si="47"/>
        <v>6.0572499999999998</v>
      </c>
      <c r="M100" s="27">
        <f t="shared" si="48"/>
        <v>4.6749999999999998</v>
      </c>
      <c r="N100" s="26">
        <f t="shared" si="49"/>
        <v>0.38312776723592662</v>
      </c>
      <c r="O100" s="27">
        <f t="shared" si="50"/>
        <v>5.0999999999999996</v>
      </c>
      <c r="P100" s="28">
        <f t="shared" si="51"/>
        <v>56.256684491978611</v>
      </c>
      <c r="Q100" s="4">
        <v>112</v>
      </c>
      <c r="R100" s="4">
        <v>64</v>
      </c>
      <c r="S100" s="4">
        <v>25.88</v>
      </c>
      <c r="T100" s="4">
        <v>20.399999999999999</v>
      </c>
      <c r="U100" s="4">
        <v>20.399999999999999</v>
      </c>
      <c r="V100" s="29">
        <f t="shared" si="52"/>
        <v>1</v>
      </c>
      <c r="W100" s="4">
        <v>18.7</v>
      </c>
      <c r="X100" s="4">
        <v>19.559999999999999</v>
      </c>
      <c r="Y100" s="4">
        <v>3.69</v>
      </c>
      <c r="Z100" s="2">
        <v>0.54</v>
      </c>
      <c r="AA100" s="4">
        <v>0.8</v>
      </c>
      <c r="AB100" s="4">
        <v>73</v>
      </c>
      <c r="AC100" s="4">
        <v>0.7</v>
      </c>
      <c r="AD100" s="4">
        <v>5.69</v>
      </c>
      <c r="AE100" s="4">
        <v>0</v>
      </c>
      <c r="AF100" s="4">
        <v>8.8000000000000007</v>
      </c>
      <c r="AG100" s="4"/>
      <c r="AH100" s="4">
        <v>30</v>
      </c>
      <c r="AI100" s="4">
        <v>2.2000000000000002</v>
      </c>
      <c r="AJ100" s="4">
        <v>147</v>
      </c>
      <c r="AK100" s="4">
        <v>63</v>
      </c>
      <c r="AL100" s="4">
        <v>59</v>
      </c>
      <c r="AM100" s="4">
        <v>80</v>
      </c>
      <c r="AN100" s="5">
        <f t="shared" si="53"/>
        <v>67</v>
      </c>
      <c r="AO100" s="30">
        <v>32.799999999999997</v>
      </c>
      <c r="AP100" s="4">
        <v>9.18</v>
      </c>
      <c r="AQ100" s="4">
        <v>7.93</v>
      </c>
      <c r="AR100" s="4">
        <v>6.09</v>
      </c>
      <c r="AS100" s="28">
        <f t="shared" si="54"/>
        <v>7.7333333333333334</v>
      </c>
      <c r="AT100" s="32">
        <v>20.8</v>
      </c>
      <c r="AU100" s="32">
        <v>20.3</v>
      </c>
      <c r="AV100" s="32">
        <v>32.799999999999997</v>
      </c>
      <c r="AW100" s="32">
        <v>11.9</v>
      </c>
      <c r="AX100" s="32">
        <v>14.4</v>
      </c>
      <c r="AY100" s="32">
        <v>20.399999999999999</v>
      </c>
      <c r="AZ100" s="33">
        <f t="shared" si="37"/>
        <v>1.582441113490364</v>
      </c>
      <c r="BA100" s="34">
        <f t="shared" si="55"/>
        <v>24.633333333333336</v>
      </c>
      <c r="BB100" s="41">
        <f t="shared" si="38"/>
        <v>16.900000000000002</v>
      </c>
      <c r="BC100" s="34">
        <f t="shared" si="39"/>
        <v>40.799999999999997</v>
      </c>
      <c r="BD100" s="28">
        <f t="shared" si="40"/>
        <v>5.2758620689655169</v>
      </c>
      <c r="BE100" s="35">
        <f t="shared" si="56"/>
        <v>3.8783269961977181E-2</v>
      </c>
      <c r="BF100" t="str">
        <f t="shared" si="57"/>
        <v>东鹏饮料</v>
      </c>
    </row>
    <row r="101" spans="1:58" x14ac:dyDescent="0.2">
      <c r="A101" s="1" t="s">
        <v>116</v>
      </c>
      <c r="B101" s="73" t="s">
        <v>47</v>
      </c>
      <c r="C101" s="2"/>
      <c r="D101" s="76">
        <v>321.3</v>
      </c>
      <c r="E101" s="4">
        <v>5.2</v>
      </c>
      <c r="F101" s="4">
        <v>14.78</v>
      </c>
      <c r="G101" s="5">
        <f t="shared" si="44"/>
        <v>1670.7600000000002</v>
      </c>
      <c r="H101" s="5">
        <f>D101/F101</f>
        <v>21.738836265223277</v>
      </c>
      <c r="I101" s="24">
        <v>5</v>
      </c>
      <c r="J101" s="66">
        <f>F101/F100-1</f>
        <v>-6.5148640101201805E-2</v>
      </c>
      <c r="K101" s="26">
        <f t="shared" si="46"/>
        <v>1.556178026766262E-2</v>
      </c>
      <c r="L101" s="27">
        <f t="shared" si="47"/>
        <v>4.0371030993042378</v>
      </c>
      <c r="M101" s="27">
        <f t="shared" si="48"/>
        <v>6.2730769230769221</v>
      </c>
      <c r="N101" s="26">
        <f t="shared" si="49"/>
        <v>0.27314635313289837</v>
      </c>
      <c r="O101" s="27">
        <f t="shared" si="50"/>
        <v>6.3980769230769239</v>
      </c>
      <c r="P101" s="28">
        <f t="shared" si="51"/>
        <v>51.218884120171687</v>
      </c>
      <c r="Q101" s="4">
        <v>158</v>
      </c>
      <c r="R101" s="4">
        <v>87</v>
      </c>
      <c r="S101" s="4">
        <v>41</v>
      </c>
      <c r="T101" s="4">
        <v>33</v>
      </c>
      <c r="U101" s="4">
        <v>33.270000000000003</v>
      </c>
      <c r="V101" s="29">
        <f t="shared" si="52"/>
        <v>1.0081818181818183</v>
      </c>
      <c r="W101" s="4">
        <v>32.619999999999997</v>
      </c>
      <c r="X101" s="4">
        <v>26.8</v>
      </c>
      <c r="Y101" s="4">
        <v>4.26</v>
      </c>
      <c r="Z101" s="2">
        <v>0.6</v>
      </c>
      <c r="AA101" s="4">
        <v>1</v>
      </c>
      <c r="AB101" s="4">
        <v>105</v>
      </c>
      <c r="AC101" s="4">
        <v>0.8</v>
      </c>
      <c r="AD101" s="4">
        <v>10.68</v>
      </c>
      <c r="AE101" s="4">
        <v>0</v>
      </c>
      <c r="AF101" s="4">
        <v>12.6</v>
      </c>
      <c r="AG101" s="4"/>
      <c r="AH101" s="4">
        <v>66</v>
      </c>
      <c r="AI101" s="4">
        <v>0</v>
      </c>
      <c r="AJ101" s="4">
        <v>227</v>
      </c>
      <c r="AK101" s="4">
        <v>77</v>
      </c>
      <c r="AL101" s="4">
        <v>100</v>
      </c>
      <c r="AM101" s="4">
        <v>148</v>
      </c>
      <c r="AN101" s="5">
        <f t="shared" si="53"/>
        <v>79</v>
      </c>
      <c r="AO101" s="30">
        <v>58</v>
      </c>
      <c r="AP101" s="4">
        <v>16.899999999999999</v>
      </c>
      <c r="AQ101" s="4">
        <v>9.18</v>
      </c>
      <c r="AR101" s="4">
        <v>7.93</v>
      </c>
      <c r="AS101" s="28">
        <f>AVERAGE(AP101:AR101)</f>
        <v>11.336666666666666</v>
      </c>
      <c r="AT101" s="32">
        <v>20.3</v>
      </c>
      <c r="AU101" s="32">
        <v>32.799999999999997</v>
      </c>
      <c r="AV101" s="32">
        <v>58</v>
      </c>
      <c r="AW101" s="32">
        <v>14.4</v>
      </c>
      <c r="AX101" s="32">
        <v>20.399999999999999</v>
      </c>
      <c r="AY101" s="32">
        <v>33.299999999999997</v>
      </c>
      <c r="AZ101" s="33">
        <f t="shared" si="37"/>
        <v>1.631424375917768</v>
      </c>
      <c r="BA101" s="34">
        <f t="shared" si="55"/>
        <v>37.033333333333331</v>
      </c>
      <c r="BB101" s="41">
        <f t="shared" si="38"/>
        <v>25.696666666666665</v>
      </c>
      <c r="BC101" s="34">
        <f t="shared" si="39"/>
        <v>39</v>
      </c>
      <c r="BD101" s="28">
        <f t="shared" si="40"/>
        <v>3.4401646574536904</v>
      </c>
      <c r="BE101" s="35">
        <f t="shared" si="56"/>
        <v>2.3342670401493928E-2</v>
      </c>
      <c r="BF101" t="str">
        <f t="shared" si="57"/>
        <v>东鹏饮料</v>
      </c>
    </row>
    <row r="102" spans="1:58" x14ac:dyDescent="0.2">
      <c r="A102" s="1" t="s">
        <v>117</v>
      </c>
      <c r="B102" s="2" t="s">
        <v>46</v>
      </c>
      <c r="C102" s="2"/>
      <c r="D102" s="76">
        <v>111</v>
      </c>
      <c r="E102" s="4">
        <v>14.72</v>
      </c>
      <c r="F102" s="4">
        <v>31.41</v>
      </c>
      <c r="G102" s="5">
        <f t="shared" si="44"/>
        <v>1633.92</v>
      </c>
      <c r="H102" s="5">
        <f t="shared" si="45"/>
        <v>3.5339063992359123</v>
      </c>
      <c r="I102" s="24">
        <v>4.2249999999999996</v>
      </c>
      <c r="J102" s="66">
        <v>0.2</v>
      </c>
      <c r="K102" s="26">
        <f t="shared" si="46"/>
        <v>3.8063063063063063E-2</v>
      </c>
      <c r="L102" s="27">
        <f t="shared" si="47"/>
        <v>10.507</v>
      </c>
      <c r="M102" s="27">
        <f t="shared" si="48"/>
        <v>8.9334239130434785</v>
      </c>
      <c r="N102" s="26">
        <f t="shared" si="49"/>
        <v>0.33451130213307861</v>
      </c>
      <c r="O102" s="27">
        <f t="shared" si="50"/>
        <v>8.9986413043478262</v>
      </c>
      <c r="P102" s="28">
        <f t="shared" si="51"/>
        <v>12.425247148288975</v>
      </c>
      <c r="Q102" s="4">
        <v>302</v>
      </c>
      <c r="R102" s="4">
        <v>35</v>
      </c>
      <c r="S102" s="4">
        <v>178</v>
      </c>
      <c r="T102" s="4">
        <v>132.88999999999999</v>
      </c>
      <c r="U102" s="4">
        <v>132.46</v>
      </c>
      <c r="V102" s="29">
        <f t="shared" si="52"/>
        <v>0.99676424110166317</v>
      </c>
      <c r="W102" s="4">
        <v>131.5</v>
      </c>
      <c r="X102" s="4">
        <v>39.74</v>
      </c>
      <c r="Y102" s="4">
        <v>11.39</v>
      </c>
      <c r="Z102" s="2">
        <v>2.2599999999999998</v>
      </c>
      <c r="AA102" s="4">
        <v>4.88</v>
      </c>
      <c r="AB102" s="4">
        <v>361</v>
      </c>
      <c r="AC102" s="4">
        <v>0.2</v>
      </c>
      <c r="AD102" s="4">
        <v>123</v>
      </c>
      <c r="AE102" s="4">
        <v>31</v>
      </c>
      <c r="AF102" s="4">
        <v>21.3</v>
      </c>
      <c r="AG102" s="4"/>
      <c r="AH102" s="4">
        <v>0</v>
      </c>
      <c r="AI102" s="4">
        <v>110</v>
      </c>
      <c r="AJ102" s="4">
        <v>702</v>
      </c>
      <c r="AK102" s="4">
        <v>419</v>
      </c>
      <c r="AL102" s="4">
        <v>175</v>
      </c>
      <c r="AM102" s="4">
        <v>143</v>
      </c>
      <c r="AN102" s="5">
        <f t="shared" si="53"/>
        <v>559</v>
      </c>
      <c r="AO102" s="30">
        <v>106</v>
      </c>
      <c r="AP102" s="4">
        <v>15</v>
      </c>
      <c r="AQ102" s="4"/>
      <c r="AR102" s="4"/>
      <c r="AS102" s="28">
        <f t="shared" si="54"/>
        <v>15</v>
      </c>
      <c r="AT102" s="32">
        <v>77</v>
      </c>
      <c r="AU102" s="32">
        <v>83</v>
      </c>
      <c r="AV102" s="32">
        <v>106</v>
      </c>
      <c r="AW102" s="32">
        <v>80</v>
      </c>
      <c r="AX102" s="32">
        <v>104</v>
      </c>
      <c r="AY102" s="32">
        <v>132</v>
      </c>
      <c r="AZ102" s="33">
        <f t="shared" si="37"/>
        <v>0.84177215189873422</v>
      </c>
      <c r="BA102" s="34">
        <f t="shared" si="55"/>
        <v>88.666666666666671</v>
      </c>
      <c r="BB102" s="41">
        <f t="shared" si="38"/>
        <v>73.666666666666671</v>
      </c>
      <c r="BC102" s="34">
        <f t="shared" si="39"/>
        <v>282</v>
      </c>
      <c r="BD102" s="28">
        <f t="shared" si="40"/>
        <v>18.8</v>
      </c>
      <c r="BE102" s="35">
        <f t="shared" si="56"/>
        <v>0.17259106933019977</v>
      </c>
      <c r="BF102" t="str">
        <f t="shared" si="57"/>
        <v>泸州老窖</v>
      </c>
    </row>
    <row r="103" spans="1:58" x14ac:dyDescent="0.2">
      <c r="A103" s="1" t="s">
        <v>118</v>
      </c>
      <c r="B103" s="73" t="s">
        <v>47</v>
      </c>
      <c r="C103" s="2"/>
      <c r="D103" s="76">
        <v>28</v>
      </c>
      <c r="E103" s="4">
        <v>244.68</v>
      </c>
      <c r="F103" s="4">
        <v>9.0399999999999991</v>
      </c>
      <c r="G103" s="5">
        <f t="shared" si="44"/>
        <v>6851.04</v>
      </c>
      <c r="H103" s="5">
        <f t="shared" si="45"/>
        <v>3.0973451327433632</v>
      </c>
      <c r="I103" s="24">
        <v>0.94299999999999995</v>
      </c>
      <c r="J103" s="66">
        <v>4.4999999999999998E-2</v>
      </c>
      <c r="K103" s="26">
        <f t="shared" si="46"/>
        <v>3.3678571428571426E-2</v>
      </c>
      <c r="L103" s="27">
        <f t="shared" si="47"/>
        <v>1.3497999999999999</v>
      </c>
      <c r="M103" s="27">
        <f t="shared" si="48"/>
        <v>1.3282654896190942</v>
      </c>
      <c r="N103" s="26">
        <f t="shared" si="49"/>
        <v>0.1493141592920354</v>
      </c>
      <c r="O103" s="27">
        <f t="shared" si="50"/>
        <v>1.3282654896190942</v>
      </c>
      <c r="P103" s="28">
        <f t="shared" si="51"/>
        <v>21.080123076923076</v>
      </c>
      <c r="Q103" s="4">
        <v>845</v>
      </c>
      <c r="R103" s="4">
        <v>345</v>
      </c>
      <c r="S103" s="4">
        <v>396</v>
      </c>
      <c r="T103" s="4">
        <v>329</v>
      </c>
      <c r="U103" s="4">
        <v>325</v>
      </c>
      <c r="V103" s="29">
        <f t="shared" si="52"/>
        <v>0.9878419452887538</v>
      </c>
      <c r="W103" s="4">
        <v>325</v>
      </c>
      <c r="X103" s="4">
        <v>1.9</v>
      </c>
      <c r="Y103" s="4">
        <v>15.62</v>
      </c>
      <c r="Z103" s="2">
        <v>8.9</v>
      </c>
      <c r="AA103" s="4">
        <v>113</v>
      </c>
      <c r="AB103" s="4">
        <v>66</v>
      </c>
      <c r="AC103" s="4">
        <v>93</v>
      </c>
      <c r="AD103" s="4">
        <v>6.4</v>
      </c>
      <c r="AE103" s="4">
        <v>773</v>
      </c>
      <c r="AF103" s="4">
        <v>16</v>
      </c>
      <c r="AG103" s="4">
        <v>2.66</v>
      </c>
      <c r="AH103" s="4">
        <v>697</v>
      </c>
      <c r="AI103" s="4">
        <v>1587</v>
      </c>
      <c r="AJ103" s="4">
        <v>5663</v>
      </c>
      <c r="AK103" s="4">
        <v>2220</v>
      </c>
      <c r="AL103" s="4">
        <v>5491</v>
      </c>
      <c r="AM103" s="4">
        <v>1597</v>
      </c>
      <c r="AN103" s="5">
        <f t="shared" si="53"/>
        <v>4066</v>
      </c>
      <c r="AO103" s="30">
        <v>596</v>
      </c>
      <c r="AP103" s="4">
        <v>144</v>
      </c>
      <c r="AQ103" s="4">
        <v>124</v>
      </c>
      <c r="AR103" s="4">
        <v>125</v>
      </c>
      <c r="AS103" s="28">
        <f t="shared" si="54"/>
        <v>131</v>
      </c>
      <c r="AT103" s="32">
        <v>435</v>
      </c>
      <c r="AU103" s="32">
        <v>647</v>
      </c>
      <c r="AV103" s="32">
        <v>596</v>
      </c>
      <c r="AW103" s="32">
        <v>329</v>
      </c>
      <c r="AX103" s="32">
        <v>280</v>
      </c>
      <c r="AY103" s="32">
        <v>251</v>
      </c>
      <c r="AZ103" s="33">
        <f t="shared" si="37"/>
        <v>1.9511627906976745</v>
      </c>
      <c r="BA103" s="34">
        <f t="shared" si="55"/>
        <v>559.33333333333337</v>
      </c>
      <c r="BB103" s="41">
        <f t="shared" si="38"/>
        <v>428.33333333333337</v>
      </c>
      <c r="BC103" s="34">
        <f t="shared" si="39"/>
        <v>-1445</v>
      </c>
      <c r="BD103" s="28">
        <f t="shared" si="40"/>
        <v>-11.030534351145038</v>
      </c>
      <c r="BE103" s="35">
        <f t="shared" si="56"/>
        <v>-0.21091688269226277</v>
      </c>
      <c r="BF103" t="str">
        <f t="shared" si="57"/>
        <v>长江电力</v>
      </c>
    </row>
    <row r="104" spans="1:58" x14ac:dyDescent="0.2">
      <c r="A104" s="1" t="s">
        <v>119</v>
      </c>
      <c r="B104" s="2" t="s">
        <v>46</v>
      </c>
      <c r="C104" s="2"/>
      <c r="D104" s="76">
        <v>21</v>
      </c>
      <c r="E104" s="4">
        <v>10.07</v>
      </c>
      <c r="F104" s="4">
        <v>9.9600000000000009</v>
      </c>
      <c r="G104" s="5">
        <f t="shared" si="44"/>
        <v>211.47</v>
      </c>
      <c r="H104" s="5">
        <f t="shared" si="45"/>
        <v>2.1084337349397591</v>
      </c>
      <c r="I104" s="24">
        <v>1.1000000000000001</v>
      </c>
      <c r="J104" s="66">
        <v>0.06</v>
      </c>
      <c r="K104" s="80">
        <f t="shared" si="46"/>
        <v>5.2380952380952382E-2</v>
      </c>
      <c r="L104" s="27">
        <f t="shared" si="47"/>
        <v>1.6976</v>
      </c>
      <c r="M104" s="27">
        <f t="shared" si="48"/>
        <v>1.2413108242303872</v>
      </c>
      <c r="N104" s="26">
        <f t="shared" si="49"/>
        <v>0.17044176706827308</v>
      </c>
      <c r="O104" s="27">
        <f t="shared" si="50"/>
        <v>1.2413108242303872</v>
      </c>
      <c r="P104" s="28">
        <f t="shared" si="51"/>
        <v>16.9176</v>
      </c>
      <c r="Q104" s="4">
        <v>39.5</v>
      </c>
      <c r="R104" s="4">
        <v>16.600000000000001</v>
      </c>
      <c r="S104" s="4">
        <v>16.7</v>
      </c>
      <c r="T104" s="4">
        <v>12.6</v>
      </c>
      <c r="U104" s="4">
        <v>12.5</v>
      </c>
      <c r="V104" s="29">
        <f t="shared" si="52"/>
        <v>0.99206349206349209</v>
      </c>
      <c r="W104" s="4">
        <v>12.5</v>
      </c>
      <c r="X104" s="4">
        <v>0.9</v>
      </c>
      <c r="Y104" s="4">
        <v>1.2</v>
      </c>
      <c r="Z104" s="2">
        <v>0</v>
      </c>
      <c r="AA104" s="4">
        <v>0.4</v>
      </c>
      <c r="AB104" s="4">
        <v>41</v>
      </c>
      <c r="AC104" s="4"/>
      <c r="AD104" s="4"/>
      <c r="AE104" s="4">
        <v>0.3</v>
      </c>
      <c r="AF104" s="4"/>
      <c r="AG104" s="4"/>
      <c r="AH104" s="4">
        <v>0</v>
      </c>
      <c r="AI104" s="4">
        <v>10.85</v>
      </c>
      <c r="AJ104" s="4">
        <v>129</v>
      </c>
      <c r="AK104" s="4">
        <v>97</v>
      </c>
      <c r="AL104" s="4">
        <v>80</v>
      </c>
      <c r="AM104" s="4">
        <v>15.5</v>
      </c>
      <c r="AN104" s="5">
        <f t="shared" si="53"/>
        <v>113.5</v>
      </c>
      <c r="AO104" s="30">
        <v>19.2</v>
      </c>
      <c r="AP104" s="4">
        <v>0.7</v>
      </c>
      <c r="AQ104" s="4"/>
      <c r="AR104" s="4"/>
      <c r="AS104" s="28">
        <f t="shared" si="54"/>
        <v>0.7</v>
      </c>
      <c r="AT104" s="32">
        <v>17.8</v>
      </c>
      <c r="AU104" s="32">
        <v>18.239999999999998</v>
      </c>
      <c r="AV104" s="32">
        <v>19.190000000000001</v>
      </c>
      <c r="AW104" s="32">
        <v>10.24</v>
      </c>
      <c r="AX104" s="32">
        <v>11.16</v>
      </c>
      <c r="AY104" s="32">
        <v>12.59</v>
      </c>
      <c r="AZ104" s="33">
        <f t="shared" si="37"/>
        <v>1.6248896734333631</v>
      </c>
      <c r="BA104" s="34">
        <f t="shared" si="55"/>
        <v>18.41</v>
      </c>
      <c r="BB104" s="41">
        <f t="shared" si="38"/>
        <v>17.71</v>
      </c>
      <c r="BC104" s="34">
        <f t="shared" si="39"/>
        <v>30.449999999999996</v>
      </c>
      <c r="BD104" s="43">
        <f t="shared" si="40"/>
        <v>43.5</v>
      </c>
      <c r="BE104" s="35">
        <f t="shared" si="56"/>
        <v>0.1439920556107249</v>
      </c>
      <c r="BF104" t="str">
        <f t="shared" si="57"/>
        <v>中国国贸</v>
      </c>
    </row>
    <row r="105" spans="1:58" x14ac:dyDescent="0.2">
      <c r="A105" s="77" t="s">
        <v>120</v>
      </c>
      <c r="B105" s="2" t="s">
        <v>46</v>
      </c>
      <c r="C105" s="2"/>
      <c r="D105" s="76">
        <v>26.83</v>
      </c>
      <c r="E105" s="4">
        <v>63.66</v>
      </c>
      <c r="F105" s="4">
        <v>8.41</v>
      </c>
      <c r="G105" s="5">
        <f t="shared" si="44"/>
        <v>1707.9977999999999</v>
      </c>
      <c r="H105" s="5">
        <f>D105/F105</f>
        <v>3.1902497027348393</v>
      </c>
      <c r="I105" s="24">
        <v>1.2</v>
      </c>
      <c r="J105" s="66">
        <v>0.06</v>
      </c>
      <c r="K105" s="26">
        <f t="shared" si="46"/>
        <v>4.4726052925829297E-2</v>
      </c>
      <c r="L105" s="27">
        <f t="shared" si="47"/>
        <v>1.7045999999999999</v>
      </c>
      <c r="M105" s="27">
        <f t="shared" si="48"/>
        <v>1.5755576500157085</v>
      </c>
      <c r="N105" s="26">
        <f t="shared" si="49"/>
        <v>0.2026872770511296</v>
      </c>
      <c r="O105" s="27">
        <f t="shared" si="50"/>
        <v>1.6383914546025762</v>
      </c>
      <c r="P105" s="28">
        <f t="shared" si="51"/>
        <v>17.028891326021935</v>
      </c>
      <c r="Q105" s="4">
        <v>1262</v>
      </c>
      <c r="R105" s="4">
        <v>848</v>
      </c>
      <c r="S105" s="4">
        <v>118.7</v>
      </c>
      <c r="T105" s="4">
        <v>102.8</v>
      </c>
      <c r="U105" s="4">
        <v>104.3</v>
      </c>
      <c r="V105" s="29">
        <f t="shared" si="52"/>
        <v>1.0145914396887159</v>
      </c>
      <c r="W105" s="4">
        <v>100.3</v>
      </c>
      <c r="X105" s="4">
        <v>225.7</v>
      </c>
      <c r="Y105" s="4">
        <v>51.5</v>
      </c>
      <c r="Z105" s="2">
        <v>8.5</v>
      </c>
      <c r="AA105" s="4">
        <v>21.9</v>
      </c>
      <c r="AB105" s="4">
        <v>434</v>
      </c>
      <c r="AC105" s="4">
        <v>33</v>
      </c>
      <c r="AD105" s="4">
        <v>125</v>
      </c>
      <c r="AE105" s="4">
        <v>65</v>
      </c>
      <c r="AF105" s="4">
        <v>148</v>
      </c>
      <c r="AG105" s="4"/>
      <c r="AH105" s="4">
        <v>398</v>
      </c>
      <c r="AI105" s="4">
        <v>117</v>
      </c>
      <c r="AJ105" s="4">
        <v>1516</v>
      </c>
      <c r="AK105" s="4">
        <v>573</v>
      </c>
      <c r="AL105" s="4">
        <v>823</v>
      </c>
      <c r="AM105" s="4">
        <v>768</v>
      </c>
      <c r="AN105" s="5">
        <f>AJ105-AM105</f>
        <v>748</v>
      </c>
      <c r="AO105" s="30">
        <v>183</v>
      </c>
      <c r="AP105" s="4">
        <v>70</v>
      </c>
      <c r="AQ105" s="4">
        <v>66</v>
      </c>
      <c r="AR105" s="4">
        <v>67</v>
      </c>
      <c r="AS105" s="28">
        <f>AVERAGE(AP105:AR105)</f>
        <v>67.666666666666671</v>
      </c>
      <c r="AT105" s="32">
        <v>155</v>
      </c>
      <c r="AU105" s="32">
        <v>134</v>
      </c>
      <c r="AV105" s="32">
        <v>183</v>
      </c>
      <c r="AW105" s="32">
        <v>87</v>
      </c>
      <c r="AX105" s="32">
        <v>94</v>
      </c>
      <c r="AY105" s="32">
        <v>104</v>
      </c>
      <c r="AZ105" s="33">
        <f t="shared" si="37"/>
        <v>1.656140350877193</v>
      </c>
      <c r="BA105" s="34">
        <f t="shared" si="55"/>
        <v>157.33333333333334</v>
      </c>
      <c r="BB105" s="41">
        <f t="shared" si="38"/>
        <v>89.666666666666671</v>
      </c>
      <c r="BC105" s="34">
        <f t="shared" si="39"/>
        <v>-16</v>
      </c>
      <c r="BD105" s="28">
        <f t="shared" si="40"/>
        <v>-0.23645320197044334</v>
      </c>
      <c r="BE105" s="35">
        <f t="shared" si="56"/>
        <v>-9.3676935649448737E-3</v>
      </c>
      <c r="BF105" t="str">
        <f t="shared" si="57"/>
        <v>伊利股份</v>
      </c>
    </row>
    <row r="106" spans="1:58" x14ac:dyDescent="0.2">
      <c r="A106" s="50" t="s">
        <v>120</v>
      </c>
      <c r="B106" s="73" t="s">
        <v>47</v>
      </c>
      <c r="C106" s="2"/>
      <c r="D106" s="63">
        <v>27.28</v>
      </c>
      <c r="E106" s="4">
        <v>63.66</v>
      </c>
      <c r="F106" s="4">
        <v>8.35</v>
      </c>
      <c r="G106" s="5">
        <f t="shared" si="44"/>
        <v>1736.6448</v>
      </c>
      <c r="H106" s="5">
        <f t="shared" si="45"/>
        <v>3.2670658682634732</v>
      </c>
      <c r="I106" s="24">
        <v>1.2</v>
      </c>
      <c r="J106" s="66">
        <f>F106/F105-1</f>
        <v>-7.1343638525565023E-3</v>
      </c>
      <c r="K106" s="26">
        <f t="shared" si="46"/>
        <v>4.3988269794721403E-2</v>
      </c>
      <c r="L106" s="27">
        <f t="shared" si="47"/>
        <v>1.1404280618311531</v>
      </c>
      <c r="M106" s="27">
        <f t="shared" si="48"/>
        <v>0.94250706880301605</v>
      </c>
      <c r="N106" s="39">
        <f t="shared" si="49"/>
        <v>0.13657821099774289</v>
      </c>
      <c r="O106" s="27">
        <f t="shared" si="50"/>
        <v>1.3352183474709394</v>
      </c>
      <c r="P106" s="28">
        <f t="shared" si="51"/>
        <v>28.94408</v>
      </c>
      <c r="Q106" s="4">
        <v>1157</v>
      </c>
      <c r="R106" s="4">
        <v>763</v>
      </c>
      <c r="S106" s="4">
        <v>102</v>
      </c>
      <c r="T106" s="4">
        <v>85</v>
      </c>
      <c r="U106" s="4">
        <v>85</v>
      </c>
      <c r="V106" s="29">
        <f t="shared" si="52"/>
        <v>1</v>
      </c>
      <c r="W106" s="4">
        <v>60</v>
      </c>
      <c r="X106" s="4">
        <v>220</v>
      </c>
      <c r="Y106" s="4">
        <v>45</v>
      </c>
      <c r="Z106" s="2">
        <v>8.6999999999999993</v>
      </c>
      <c r="AA106" s="4">
        <v>18.2</v>
      </c>
      <c r="AB106" s="4">
        <v>254</v>
      </c>
      <c r="AC106" s="4">
        <v>31</v>
      </c>
      <c r="AD106" s="4">
        <v>107</v>
      </c>
      <c r="AE106" s="4">
        <v>61</v>
      </c>
      <c r="AF106" s="4">
        <v>133</v>
      </c>
      <c r="AG106" s="4"/>
      <c r="AH106" s="4">
        <v>364</v>
      </c>
      <c r="AI106" s="4">
        <v>47</v>
      </c>
      <c r="AJ106" s="4">
        <v>1537</v>
      </c>
      <c r="AK106" s="4">
        <v>532</v>
      </c>
      <c r="AL106" s="4">
        <v>871</v>
      </c>
      <c r="AM106" s="4">
        <v>899</v>
      </c>
      <c r="AN106" s="5">
        <f>AJ106-AM106</f>
        <v>638</v>
      </c>
      <c r="AO106" s="30">
        <v>183</v>
      </c>
      <c r="AP106" s="4">
        <v>40</v>
      </c>
      <c r="AQ106" s="4">
        <v>70</v>
      </c>
      <c r="AR106" s="4">
        <v>66</v>
      </c>
      <c r="AS106" s="28">
        <f t="shared" si="54"/>
        <v>58.666666666666664</v>
      </c>
      <c r="AT106" s="32">
        <v>217</v>
      </c>
      <c r="AU106" s="32">
        <v>155</v>
      </c>
      <c r="AV106" s="32">
        <v>134</v>
      </c>
      <c r="AW106" s="32">
        <v>94</v>
      </c>
      <c r="AX106" s="32">
        <v>104</v>
      </c>
      <c r="AY106" s="32">
        <v>85</v>
      </c>
      <c r="AZ106" s="33">
        <f t="shared" si="37"/>
        <v>1.7879858657243817</v>
      </c>
      <c r="BA106" s="34">
        <f t="shared" si="55"/>
        <v>168.66666666666666</v>
      </c>
      <c r="BB106" s="41">
        <f t="shared" si="38"/>
        <v>110</v>
      </c>
      <c r="BC106" s="34">
        <f t="shared" si="39"/>
        <v>-96</v>
      </c>
      <c r="BD106" s="47">
        <f t="shared" si="40"/>
        <v>-1.6363636363636365</v>
      </c>
      <c r="BE106" s="35">
        <f t="shared" si="56"/>
        <v>-5.5279006967918827E-2</v>
      </c>
      <c r="BF106" t="str">
        <f t="shared" si="57"/>
        <v>伊利股份</v>
      </c>
    </row>
    <row r="107" spans="1:58" x14ac:dyDescent="0.2">
      <c r="A107" s="77" t="s">
        <v>121</v>
      </c>
      <c r="B107" s="2" t="s">
        <v>46</v>
      </c>
      <c r="C107" s="2"/>
      <c r="D107" s="55">
        <v>6.5</v>
      </c>
      <c r="E107" s="4">
        <v>144.41999999999999</v>
      </c>
      <c r="F107" s="4">
        <v>1.23</v>
      </c>
      <c r="G107" s="5">
        <f t="shared" si="44"/>
        <v>938.7299999999999</v>
      </c>
      <c r="H107" s="5">
        <f>D107/F107</f>
        <v>5.2845528455284549</v>
      </c>
      <c r="I107" s="24">
        <v>0.33</v>
      </c>
      <c r="J107" s="66">
        <v>0</v>
      </c>
      <c r="K107" s="26">
        <f t="shared" si="46"/>
        <v>5.0769230769230775E-2</v>
      </c>
      <c r="L107" s="27">
        <f t="shared" si="47"/>
        <v>0.33</v>
      </c>
      <c r="M107" s="27">
        <f t="shared" si="48"/>
        <v>0.30466694363661545</v>
      </c>
      <c r="N107" s="26">
        <f t="shared" si="49"/>
        <v>0.26829268292682928</v>
      </c>
      <c r="O107" s="27">
        <f t="shared" si="50"/>
        <v>0.33236393851267143</v>
      </c>
      <c r="P107" s="28">
        <f t="shared" si="51"/>
        <v>21.334772727272725</v>
      </c>
      <c r="Q107" s="4">
        <v>119</v>
      </c>
      <c r="R107" s="4">
        <v>41</v>
      </c>
      <c r="S107" s="4">
        <v>58</v>
      </c>
      <c r="T107" s="4">
        <v>48</v>
      </c>
      <c r="U107" s="4">
        <v>48</v>
      </c>
      <c r="V107" s="29">
        <f t="shared" si="52"/>
        <v>1</v>
      </c>
      <c r="W107" s="4">
        <v>44</v>
      </c>
      <c r="X107" s="4">
        <v>22</v>
      </c>
      <c r="Y107" s="4">
        <v>4.4000000000000004</v>
      </c>
      <c r="Z107" s="2">
        <v>0.6</v>
      </c>
      <c r="AA107" s="4">
        <v>1.3</v>
      </c>
      <c r="AB107" s="4">
        <v>88</v>
      </c>
      <c r="AC107" s="4">
        <v>18</v>
      </c>
      <c r="AD107" s="4">
        <v>0.1</v>
      </c>
      <c r="AE107" s="4">
        <v>21</v>
      </c>
      <c r="AF107" s="4">
        <v>1.37</v>
      </c>
      <c r="AG107" s="4"/>
      <c r="AH107" s="4">
        <v>0.7</v>
      </c>
      <c r="AI107" s="4">
        <v>0</v>
      </c>
      <c r="AJ107" s="4">
        <v>244</v>
      </c>
      <c r="AK107" s="4">
        <v>180</v>
      </c>
      <c r="AL107" s="4">
        <v>132</v>
      </c>
      <c r="AM107" s="4">
        <v>52</v>
      </c>
      <c r="AN107" s="5">
        <f t="shared" ref="AN107:AN150" si="58">AJ107-AM107</f>
        <v>192</v>
      </c>
      <c r="AO107" s="30">
        <v>77</v>
      </c>
      <c r="AP107" s="4">
        <v>2.7</v>
      </c>
      <c r="AQ107" s="4">
        <v>1</v>
      </c>
      <c r="AR107" s="4">
        <v>2.5</v>
      </c>
      <c r="AS107" s="28">
        <f>AVERAGE(AP107:AR107)</f>
        <v>2.0666666666666669</v>
      </c>
      <c r="AT107" s="32">
        <v>96</v>
      </c>
      <c r="AU107" s="32">
        <v>67</v>
      </c>
      <c r="AV107" s="32">
        <v>77</v>
      </c>
      <c r="AW107" s="32">
        <v>60</v>
      </c>
      <c r="AX107" s="32">
        <v>28</v>
      </c>
      <c r="AY107" s="32">
        <v>48</v>
      </c>
      <c r="AZ107" s="33">
        <f t="shared" si="37"/>
        <v>1.7647058823529411</v>
      </c>
      <c r="BA107" s="34">
        <f t="shared" si="55"/>
        <v>80</v>
      </c>
      <c r="BB107" s="41">
        <f t="shared" si="38"/>
        <v>77.933333333333337</v>
      </c>
      <c r="BC107" s="34">
        <f t="shared" si="39"/>
        <v>108.3</v>
      </c>
      <c r="BD107" s="28">
        <f t="shared" si="40"/>
        <v>52.403225806451609</v>
      </c>
      <c r="BE107" s="35">
        <f t="shared" si="56"/>
        <v>0.11536863634910997</v>
      </c>
      <c r="BF107" t="str">
        <f t="shared" si="57"/>
        <v>分众传媒</v>
      </c>
    </row>
    <row r="108" spans="1:58" x14ac:dyDescent="0.2">
      <c r="A108" s="1" t="s">
        <v>121</v>
      </c>
      <c r="B108" s="2" t="s">
        <v>77</v>
      </c>
      <c r="C108" s="2"/>
      <c r="D108" s="81">
        <v>7.29</v>
      </c>
      <c r="E108" s="4">
        <v>144.41999999999999</v>
      </c>
      <c r="F108" s="4">
        <v>1.18</v>
      </c>
      <c r="G108" s="5">
        <f t="shared" si="44"/>
        <v>1052.8217999999999</v>
      </c>
      <c r="H108" s="5">
        <f t="shared" si="45"/>
        <v>6.1779661016949152</v>
      </c>
      <c r="I108" s="24">
        <v>0.38</v>
      </c>
      <c r="J108" s="66">
        <f>F108/F107-1</f>
        <v>-4.065040650406504E-2</v>
      </c>
      <c r="K108" s="80">
        <f t="shared" si="46"/>
        <v>5.2126200274348423E-2</v>
      </c>
      <c r="L108" s="27">
        <f t="shared" si="47"/>
        <v>0.33203252032520325</v>
      </c>
      <c r="M108" s="27">
        <f t="shared" si="48"/>
        <v>0.32543968979365739</v>
      </c>
      <c r="N108" s="26">
        <f t="shared" si="49"/>
        <v>0.28138349180101974</v>
      </c>
      <c r="O108" s="27">
        <f t="shared" si="50"/>
        <v>0.36006093338872736</v>
      </c>
      <c r="P108" s="28">
        <f t="shared" si="51"/>
        <v>22.400463829787231</v>
      </c>
      <c r="Q108" s="4">
        <v>123</v>
      </c>
      <c r="R108" s="4">
        <v>41</v>
      </c>
      <c r="S108" s="4">
        <v>60</v>
      </c>
      <c r="T108" s="4">
        <v>51</v>
      </c>
      <c r="U108" s="4">
        <v>52</v>
      </c>
      <c r="V108" s="29">
        <f t="shared" si="52"/>
        <v>1.0196078431372548</v>
      </c>
      <c r="W108" s="4">
        <v>47</v>
      </c>
      <c r="X108" s="4">
        <v>23</v>
      </c>
      <c r="Y108" s="4">
        <v>5</v>
      </c>
      <c r="Z108" s="2">
        <v>0.5</v>
      </c>
      <c r="AA108" s="4">
        <v>1.4</v>
      </c>
      <c r="AB108" s="4">
        <v>82</v>
      </c>
      <c r="AC108" s="4">
        <v>31</v>
      </c>
      <c r="AD108" s="4">
        <v>0.1</v>
      </c>
      <c r="AE108" s="4">
        <v>43</v>
      </c>
      <c r="AF108" s="4">
        <v>1</v>
      </c>
      <c r="AG108" s="25">
        <v>-0.43</v>
      </c>
      <c r="AH108" s="4">
        <v>0.2</v>
      </c>
      <c r="AI108" s="4">
        <v>0.4</v>
      </c>
      <c r="AJ108" s="4">
        <v>238</v>
      </c>
      <c r="AK108" s="4">
        <v>168</v>
      </c>
      <c r="AL108" s="4">
        <v>114</v>
      </c>
      <c r="AM108" s="4">
        <v>59</v>
      </c>
      <c r="AN108" s="5">
        <f t="shared" si="58"/>
        <v>179</v>
      </c>
      <c r="AO108" s="30">
        <v>66</v>
      </c>
      <c r="AP108" s="4">
        <v>2.7</v>
      </c>
      <c r="AQ108" s="4">
        <v>1</v>
      </c>
      <c r="AR108" s="4">
        <v>1.5</v>
      </c>
      <c r="AS108" s="28">
        <f t="shared" si="54"/>
        <v>1.7333333333333334</v>
      </c>
      <c r="AT108" s="32">
        <v>66</v>
      </c>
      <c r="AU108" s="32">
        <v>67</v>
      </c>
      <c r="AV108" s="32">
        <v>77</v>
      </c>
      <c r="AW108" s="32">
        <v>40</v>
      </c>
      <c r="AX108" s="32">
        <v>45</v>
      </c>
      <c r="AY108" s="32">
        <v>48</v>
      </c>
      <c r="AZ108" s="33">
        <f t="shared" si="37"/>
        <v>1.5789473684210527</v>
      </c>
      <c r="BA108" s="34">
        <f t="shared" si="55"/>
        <v>70</v>
      </c>
      <c r="BB108" s="41">
        <f t="shared" si="38"/>
        <v>68.266666666666666</v>
      </c>
      <c r="BC108" s="34">
        <f t="shared" si="39"/>
        <v>124.39999999999999</v>
      </c>
      <c r="BD108" s="43">
        <f t="shared" si="40"/>
        <v>71.769230769230759</v>
      </c>
      <c r="BE108" s="35">
        <f t="shared" si="56"/>
        <v>0.11815864755080109</v>
      </c>
      <c r="BF108" t="str">
        <f t="shared" si="57"/>
        <v>分众传媒</v>
      </c>
    </row>
    <row r="109" spans="1:58" x14ac:dyDescent="0.2">
      <c r="A109" s="65" t="s">
        <v>122</v>
      </c>
      <c r="B109" s="2" t="s">
        <v>46</v>
      </c>
      <c r="C109" s="2"/>
      <c r="D109" s="55">
        <v>49.85</v>
      </c>
      <c r="E109" s="4">
        <v>5.23</v>
      </c>
      <c r="F109" s="4">
        <v>23.66</v>
      </c>
      <c r="G109" s="5">
        <f t="shared" si="44"/>
        <v>260.71550000000002</v>
      </c>
      <c r="H109" s="5">
        <f t="shared" si="45"/>
        <v>2.106931530008453</v>
      </c>
      <c r="I109" s="24">
        <v>1.95</v>
      </c>
      <c r="J109" s="66">
        <v>0.13500000000000001</v>
      </c>
      <c r="K109" s="26">
        <f t="shared" si="46"/>
        <v>3.9117352056168501E-2</v>
      </c>
      <c r="L109" s="27">
        <f t="shared" si="47"/>
        <v>5.1440999999999999</v>
      </c>
      <c r="M109" s="27">
        <f t="shared" si="48"/>
        <v>4.1300191204588907</v>
      </c>
      <c r="N109" s="26">
        <f t="shared" si="49"/>
        <v>0.21741758241758241</v>
      </c>
      <c r="O109" s="27">
        <f t="shared" si="50"/>
        <v>4.2065009560229445</v>
      </c>
      <c r="P109" s="28">
        <f t="shared" si="51"/>
        <v>12.070162037037036</v>
      </c>
      <c r="Q109" s="4">
        <v>714</v>
      </c>
      <c r="R109" s="4">
        <v>655</v>
      </c>
      <c r="S109" s="4">
        <v>40</v>
      </c>
      <c r="T109" s="4">
        <v>30</v>
      </c>
      <c r="U109" s="4">
        <v>22</v>
      </c>
      <c r="V109" s="29">
        <f t="shared" si="52"/>
        <v>0.73333333333333328</v>
      </c>
      <c r="W109" s="4">
        <v>21.6</v>
      </c>
      <c r="X109" s="4">
        <v>10.5</v>
      </c>
      <c r="Y109" s="4">
        <v>4.9000000000000004</v>
      </c>
      <c r="Z109" s="2">
        <v>0.4</v>
      </c>
      <c r="AA109" s="4">
        <v>2.6</v>
      </c>
      <c r="AB109" s="4">
        <v>96</v>
      </c>
      <c r="AC109" s="4">
        <v>3.15</v>
      </c>
      <c r="AD109" s="4">
        <v>123.3</v>
      </c>
      <c r="AE109" s="4">
        <v>0</v>
      </c>
      <c r="AF109" s="4">
        <v>3.87</v>
      </c>
      <c r="AG109" s="4"/>
      <c r="AH109" s="4">
        <v>56</v>
      </c>
      <c r="AI109" s="4">
        <v>2</v>
      </c>
      <c r="AJ109" s="4">
        <v>243</v>
      </c>
      <c r="AK109" s="4">
        <v>137</v>
      </c>
      <c r="AL109" s="4">
        <v>12.16</v>
      </c>
      <c r="AM109" s="4">
        <v>77</v>
      </c>
      <c r="AN109" s="5">
        <f t="shared" si="58"/>
        <v>166</v>
      </c>
      <c r="AO109" s="30">
        <v>72</v>
      </c>
      <c r="AP109" s="4">
        <v>1.5</v>
      </c>
      <c r="AQ109" s="4">
        <v>0.75</v>
      </c>
      <c r="AR109" s="4">
        <v>0.55000000000000004</v>
      </c>
      <c r="AS109" s="28">
        <f t="shared" si="54"/>
        <v>0.93333333333333324</v>
      </c>
      <c r="AT109" s="32">
        <v>19.899999999999999</v>
      </c>
      <c r="AU109" s="32">
        <v>9.6</v>
      </c>
      <c r="AV109" s="32">
        <v>72</v>
      </c>
      <c r="AW109" s="32">
        <v>18.8</v>
      </c>
      <c r="AX109" s="32">
        <v>17</v>
      </c>
      <c r="AY109" s="32">
        <v>22</v>
      </c>
      <c r="AZ109" s="33">
        <f t="shared" si="37"/>
        <v>1.7560553633217995</v>
      </c>
      <c r="BA109" s="34">
        <f t="shared" si="55"/>
        <v>33.833333333333336</v>
      </c>
      <c r="BB109" s="41">
        <f t="shared" si="38"/>
        <v>32.900000000000006</v>
      </c>
      <c r="BC109" s="34">
        <f t="shared" si="39"/>
        <v>38</v>
      </c>
      <c r="BD109" s="28">
        <f t="shared" si="40"/>
        <v>40.714285714285715</v>
      </c>
      <c r="BE109" s="35">
        <f t="shared" si="56"/>
        <v>0.14575274580912909</v>
      </c>
      <c r="BF109" t="str">
        <f t="shared" si="57"/>
        <v>老凤祥</v>
      </c>
    </row>
    <row r="110" spans="1:58" x14ac:dyDescent="0.2">
      <c r="A110" s="1" t="s">
        <v>123</v>
      </c>
      <c r="B110" s="73" t="s">
        <v>47</v>
      </c>
      <c r="C110" s="2"/>
      <c r="D110" s="81">
        <v>10.5</v>
      </c>
      <c r="E110" s="4">
        <v>28.53</v>
      </c>
      <c r="F110" s="4">
        <v>5.16</v>
      </c>
      <c r="G110" s="5">
        <f t="shared" si="44"/>
        <v>299.565</v>
      </c>
      <c r="H110" s="5">
        <f t="shared" si="45"/>
        <v>2.0348837209302326</v>
      </c>
      <c r="I110" s="24">
        <v>0.59599999999999997</v>
      </c>
      <c r="J110" s="66">
        <v>0.03</v>
      </c>
      <c r="K110" s="26">
        <f t="shared" si="46"/>
        <v>5.6761904761904756E-2</v>
      </c>
      <c r="L110" s="27">
        <f t="shared" si="47"/>
        <v>0.75079999999999991</v>
      </c>
      <c r="M110" s="27">
        <f t="shared" si="48"/>
        <v>0.94637223974763407</v>
      </c>
      <c r="N110" s="26">
        <f t="shared" si="49"/>
        <v>0.14550387596899222</v>
      </c>
      <c r="O110" s="27">
        <f t="shared" si="50"/>
        <v>0.96039256922537675</v>
      </c>
      <c r="P110" s="28">
        <f t="shared" si="51"/>
        <v>11.095000000000001</v>
      </c>
      <c r="Q110" s="4">
        <v>251</v>
      </c>
      <c r="R110" s="4">
        <v>200</v>
      </c>
      <c r="S110" s="4">
        <v>35</v>
      </c>
      <c r="T110" s="4">
        <v>27.4</v>
      </c>
      <c r="U110" s="4">
        <v>27.4</v>
      </c>
      <c r="V110" s="29">
        <f t="shared" si="52"/>
        <v>1</v>
      </c>
      <c r="W110" s="4">
        <v>27</v>
      </c>
      <c r="X110" s="4">
        <v>3.87</v>
      </c>
      <c r="Y110" s="4">
        <v>9.3800000000000008</v>
      </c>
      <c r="Z110" s="2">
        <v>3.83</v>
      </c>
      <c r="AA110" s="4">
        <v>0.8</v>
      </c>
      <c r="AB110" s="4">
        <v>48.7</v>
      </c>
      <c r="AC110" s="4">
        <v>6.62</v>
      </c>
      <c r="AD110" s="4">
        <v>27.22</v>
      </c>
      <c r="AE110" s="4">
        <v>4.41</v>
      </c>
      <c r="AF110" s="4">
        <v>14.42</v>
      </c>
      <c r="AG110" s="4"/>
      <c r="AH110" s="4">
        <v>17.350000000000001</v>
      </c>
      <c r="AI110" s="4">
        <v>13.48</v>
      </c>
      <c r="AJ110" s="4">
        <v>238</v>
      </c>
      <c r="AK110" s="4">
        <v>146</v>
      </c>
      <c r="AL110" s="4">
        <v>149</v>
      </c>
      <c r="AM110" s="4">
        <v>74.400000000000006</v>
      </c>
      <c r="AN110" s="5">
        <f t="shared" si="58"/>
        <v>163.6</v>
      </c>
      <c r="AO110" s="30">
        <v>46.27</v>
      </c>
      <c r="AP110" s="4">
        <v>20</v>
      </c>
      <c r="AQ110" s="4">
        <v>13.33</v>
      </c>
      <c r="AR110" s="4">
        <v>14.6</v>
      </c>
      <c r="AS110" s="28">
        <f t="shared" si="54"/>
        <v>15.976666666666667</v>
      </c>
      <c r="AT110" s="32">
        <v>56.55</v>
      </c>
      <c r="AU110" s="32">
        <v>52.3</v>
      </c>
      <c r="AV110" s="32">
        <v>46</v>
      </c>
      <c r="AW110" s="32">
        <v>44</v>
      </c>
      <c r="AX110" s="32">
        <v>32</v>
      </c>
      <c r="AY110" s="32">
        <v>27</v>
      </c>
      <c r="AZ110" s="33">
        <f t="shared" si="37"/>
        <v>1.5033980582524271</v>
      </c>
      <c r="BA110" s="34">
        <f t="shared" si="55"/>
        <v>51.616666666666667</v>
      </c>
      <c r="BB110" s="41">
        <f t="shared" si="38"/>
        <v>35.64</v>
      </c>
      <c r="BC110" s="34">
        <f t="shared" si="39"/>
        <v>22.279999999999998</v>
      </c>
      <c r="BD110" s="28">
        <f t="shared" si="40"/>
        <v>1.3945336949718339</v>
      </c>
      <c r="BE110" s="35">
        <f t="shared" si="56"/>
        <v>7.4374509705739986E-2</v>
      </c>
      <c r="BF110" t="str">
        <f t="shared" si="57"/>
        <v>梅花生物</v>
      </c>
    </row>
    <row r="111" spans="1:58" x14ac:dyDescent="0.2">
      <c r="A111" s="1" t="s">
        <v>124</v>
      </c>
      <c r="B111" s="2" t="s">
        <v>46</v>
      </c>
      <c r="C111" s="2"/>
      <c r="D111" s="55">
        <v>18.66</v>
      </c>
      <c r="E111" s="4">
        <v>10.28</v>
      </c>
      <c r="F111" s="4">
        <v>11.52</v>
      </c>
      <c r="G111" s="5">
        <f t="shared" si="44"/>
        <v>191.82479999999998</v>
      </c>
      <c r="H111" s="5">
        <f t="shared" si="45"/>
        <v>1.6197916666666667</v>
      </c>
      <c r="I111" s="24">
        <v>0.29499999999999998</v>
      </c>
      <c r="J111" s="66">
        <v>0.2</v>
      </c>
      <c r="K111" s="26">
        <f t="shared" si="46"/>
        <v>1.5809217577706324E-2</v>
      </c>
      <c r="L111" s="27">
        <f t="shared" si="47"/>
        <v>2.5989999999999998</v>
      </c>
      <c r="M111" s="27">
        <f t="shared" si="48"/>
        <v>1.2694552529182881</v>
      </c>
      <c r="N111" s="26">
        <f t="shared" si="49"/>
        <v>0.22560763888888888</v>
      </c>
      <c r="O111" s="27">
        <f t="shared" si="50"/>
        <v>1.3326848249027237</v>
      </c>
      <c r="P111" s="28">
        <f t="shared" si="51"/>
        <v>14.699218390804596</v>
      </c>
      <c r="Q111" s="4">
        <v>78</v>
      </c>
      <c r="R111" s="4">
        <v>59</v>
      </c>
      <c r="S111" s="4">
        <v>14.7</v>
      </c>
      <c r="T111" s="4">
        <v>13.7</v>
      </c>
      <c r="U111" s="4">
        <v>13.7</v>
      </c>
      <c r="V111" s="29">
        <f t="shared" si="52"/>
        <v>1</v>
      </c>
      <c r="W111" s="4">
        <v>13.05</v>
      </c>
      <c r="X111" s="4">
        <v>1.88</v>
      </c>
      <c r="Y111" s="4">
        <v>1.7</v>
      </c>
      <c r="Z111" s="2">
        <v>1.65</v>
      </c>
      <c r="AA111" s="4">
        <v>0.9</v>
      </c>
      <c r="AB111" s="4">
        <v>41</v>
      </c>
      <c r="AC111" s="4"/>
      <c r="AD111" s="4"/>
      <c r="AE111" s="4">
        <v>0.1</v>
      </c>
      <c r="AF111" s="4"/>
      <c r="AG111" s="4"/>
      <c r="AH111" s="4">
        <v>0</v>
      </c>
      <c r="AI111" s="4">
        <v>19.600000000000001</v>
      </c>
      <c r="AJ111" s="4">
        <v>157</v>
      </c>
      <c r="AK111" s="4">
        <v>118</v>
      </c>
      <c r="AL111" s="4">
        <v>92</v>
      </c>
      <c r="AM111" s="4">
        <v>18.5</v>
      </c>
      <c r="AN111" s="5">
        <f t="shared" si="58"/>
        <v>138.5</v>
      </c>
      <c r="AO111" s="30">
        <v>23.67</v>
      </c>
      <c r="AP111" s="4">
        <v>11.4</v>
      </c>
      <c r="AQ111" s="4">
        <v>10.5</v>
      </c>
      <c r="AR111" s="4">
        <v>14.7</v>
      </c>
      <c r="AS111" s="28">
        <f t="shared" si="54"/>
        <v>12.199999999999998</v>
      </c>
      <c r="AT111" s="32">
        <v>8.3000000000000007</v>
      </c>
      <c r="AU111" s="32">
        <v>10.3</v>
      </c>
      <c r="AV111" s="32">
        <v>23.7</v>
      </c>
      <c r="AW111" s="32">
        <v>7.3</v>
      </c>
      <c r="AX111" s="32">
        <v>8.6999999999999993</v>
      </c>
      <c r="AY111" s="32">
        <v>14.7</v>
      </c>
      <c r="AZ111" s="33">
        <f t="shared" si="37"/>
        <v>1.3778501628664495</v>
      </c>
      <c r="BA111" s="34">
        <f t="shared" si="55"/>
        <v>14.1</v>
      </c>
      <c r="BB111" s="41">
        <f t="shared" si="38"/>
        <v>1.9000000000000021</v>
      </c>
      <c r="BC111" s="34">
        <f t="shared" si="39"/>
        <v>21.5</v>
      </c>
      <c r="BD111" s="28">
        <f t="shared" si="40"/>
        <v>1.7622950819672134</v>
      </c>
      <c r="BE111" s="35">
        <f t="shared" si="56"/>
        <v>0.11208144098156235</v>
      </c>
      <c r="BF111" t="str">
        <f t="shared" si="57"/>
        <v>森麒麟</v>
      </c>
    </row>
    <row r="112" spans="1:58" x14ac:dyDescent="0.2">
      <c r="A112" s="1" t="s">
        <v>125</v>
      </c>
      <c r="B112" s="73" t="s">
        <v>47</v>
      </c>
      <c r="C112" s="2"/>
      <c r="D112" s="55">
        <v>70</v>
      </c>
      <c r="E112" s="4">
        <v>3.96</v>
      </c>
      <c r="F112" s="4">
        <v>14.19</v>
      </c>
      <c r="G112" s="5">
        <f t="shared" si="44"/>
        <v>277.2</v>
      </c>
      <c r="H112" s="5">
        <f t="shared" si="45"/>
        <v>4.9330514446793519</v>
      </c>
      <c r="I112" s="24">
        <v>1.9910000000000001</v>
      </c>
      <c r="J112" s="66">
        <v>0.25</v>
      </c>
      <c r="K112" s="26">
        <f t="shared" si="46"/>
        <v>2.8442857142857145E-2</v>
      </c>
      <c r="L112" s="27">
        <f t="shared" si="47"/>
        <v>5.5385</v>
      </c>
      <c r="M112" s="27">
        <f t="shared" si="48"/>
        <v>3.8434343434343434</v>
      </c>
      <c r="N112" s="26">
        <f t="shared" si="49"/>
        <v>0.39031007751937985</v>
      </c>
      <c r="O112" s="27">
        <f t="shared" si="50"/>
        <v>3.9191919191919191</v>
      </c>
      <c r="P112" s="28">
        <f t="shared" si="51"/>
        <v>18.212877792378446</v>
      </c>
      <c r="Q112" s="4">
        <v>108</v>
      </c>
      <c r="R112" s="4">
        <v>31</v>
      </c>
      <c r="S112" s="4">
        <v>18.899999999999999</v>
      </c>
      <c r="T112" s="4">
        <v>15.85</v>
      </c>
      <c r="U112" s="4">
        <v>15.52</v>
      </c>
      <c r="V112" s="29">
        <f t="shared" si="52"/>
        <v>0.97917981072555205</v>
      </c>
      <c r="W112" s="4">
        <v>15.22</v>
      </c>
      <c r="X112" s="4">
        <v>51.6</v>
      </c>
      <c r="Y112" s="4">
        <v>3.66</v>
      </c>
      <c r="Z112" s="2">
        <v>2.1</v>
      </c>
      <c r="AA112" s="4">
        <v>0.3</v>
      </c>
      <c r="AB112" s="4">
        <v>41</v>
      </c>
      <c r="AC112" s="4">
        <v>5.2</v>
      </c>
      <c r="AD112" s="4">
        <v>6.6</v>
      </c>
      <c r="AE112" s="4">
        <v>1.8</v>
      </c>
      <c r="AF112" s="4">
        <v>6.76</v>
      </c>
      <c r="AG112" s="25">
        <v>-0.5</v>
      </c>
      <c r="AH112" s="4">
        <v>0</v>
      </c>
      <c r="AI112" s="4">
        <v>0</v>
      </c>
      <c r="AJ112" s="4">
        <v>75</v>
      </c>
      <c r="AK112" s="4">
        <v>55</v>
      </c>
      <c r="AL112" s="4">
        <v>19.2</v>
      </c>
      <c r="AM112" s="4">
        <v>12.13</v>
      </c>
      <c r="AN112" s="5">
        <f t="shared" si="58"/>
        <v>62.87</v>
      </c>
      <c r="AO112" s="30">
        <v>11.1</v>
      </c>
      <c r="AP112" s="4">
        <v>1.8</v>
      </c>
      <c r="AQ112" s="4">
        <v>1.7</v>
      </c>
      <c r="AR112" s="4">
        <v>3</v>
      </c>
      <c r="AS112" s="28">
        <f t="shared" si="54"/>
        <v>2.1666666666666665</v>
      </c>
      <c r="AT112" s="32">
        <v>11.1</v>
      </c>
      <c r="AU112" s="32">
        <v>11.1</v>
      </c>
      <c r="AV112" s="32">
        <v>14.69</v>
      </c>
      <c r="AW112" s="32">
        <v>15.9</v>
      </c>
      <c r="AX112" s="32">
        <v>12.3</v>
      </c>
      <c r="AY112" s="32">
        <v>8.3000000000000007</v>
      </c>
      <c r="AZ112" s="33">
        <f t="shared" si="37"/>
        <v>1.0106849315068493</v>
      </c>
      <c r="BA112" s="34">
        <f t="shared" si="55"/>
        <v>12.296666666666667</v>
      </c>
      <c r="BB112" s="41">
        <f t="shared" si="38"/>
        <v>10.130000000000001</v>
      </c>
      <c r="BC112" s="34">
        <f t="shared" si="39"/>
        <v>42.8</v>
      </c>
      <c r="BD112" s="28">
        <f t="shared" si="40"/>
        <v>19.753846153846155</v>
      </c>
      <c r="BE112" s="35">
        <f t="shared" si="56"/>
        <v>0.1544011544011544</v>
      </c>
      <c r="BF112" t="str">
        <f t="shared" si="57"/>
        <v>珀莱雅</v>
      </c>
    </row>
    <row r="113" spans="1:58" x14ac:dyDescent="0.2">
      <c r="A113" s="77" t="s">
        <v>126</v>
      </c>
      <c r="B113" s="2" t="s">
        <v>46</v>
      </c>
      <c r="C113" s="2"/>
      <c r="D113" s="55">
        <v>15.33</v>
      </c>
      <c r="E113" s="4">
        <v>265.77999999999997</v>
      </c>
      <c r="F113" s="4">
        <v>4.08</v>
      </c>
      <c r="G113" s="5">
        <f t="shared" si="44"/>
        <v>4074.4073999999996</v>
      </c>
      <c r="H113" s="5">
        <f>D113/F113</f>
        <v>3.7573529411764706</v>
      </c>
      <c r="I113" s="24">
        <v>0.3</v>
      </c>
      <c r="J113" s="66">
        <v>0.2</v>
      </c>
      <c r="K113" s="26">
        <f t="shared" si="46"/>
        <v>1.9569471624266144E-2</v>
      </c>
      <c r="L113" s="27">
        <f t="shared" si="47"/>
        <v>1.1160000000000001</v>
      </c>
      <c r="M113" s="27">
        <f t="shared" si="48"/>
        <v>0.81270223493114613</v>
      </c>
      <c r="N113" s="26">
        <f t="shared" si="49"/>
        <v>0.27352941176470591</v>
      </c>
      <c r="O113" s="27">
        <f t="shared" si="50"/>
        <v>0.79388968319662889</v>
      </c>
      <c r="P113" s="28">
        <f t="shared" si="51"/>
        <v>18.862997222222219</v>
      </c>
      <c r="Q113" s="4">
        <v>2934</v>
      </c>
      <c r="R113" s="4">
        <v>2470</v>
      </c>
      <c r="S113" s="4">
        <v>319</v>
      </c>
      <c r="T113" s="4">
        <v>265</v>
      </c>
      <c r="U113" s="4">
        <v>211</v>
      </c>
      <c r="V113" s="29">
        <f t="shared" si="52"/>
        <v>0.79622641509433967</v>
      </c>
      <c r="W113" s="4">
        <v>216</v>
      </c>
      <c r="X113" s="4">
        <v>7.66</v>
      </c>
      <c r="Y113" s="4">
        <v>75</v>
      </c>
      <c r="Z113" s="2">
        <v>16</v>
      </c>
      <c r="AA113" s="4">
        <v>33</v>
      </c>
      <c r="AB113" s="4">
        <v>238</v>
      </c>
      <c r="AC113" s="4">
        <v>78</v>
      </c>
      <c r="AD113" s="4">
        <v>293</v>
      </c>
      <c r="AE113" s="4">
        <v>453</v>
      </c>
      <c r="AF113" s="4">
        <v>163</v>
      </c>
      <c r="AG113" s="4"/>
      <c r="AH113" s="4">
        <v>210</v>
      </c>
      <c r="AI113" s="4">
        <v>775</v>
      </c>
      <c r="AJ113" s="4">
        <v>3430</v>
      </c>
      <c r="AK113" s="4">
        <v>1384</v>
      </c>
      <c r="AL113" s="4">
        <v>2654</v>
      </c>
      <c r="AM113" s="4">
        <v>842</v>
      </c>
      <c r="AN113" s="5">
        <f t="shared" si="58"/>
        <v>2588</v>
      </c>
      <c r="AO113" s="30">
        <v>369</v>
      </c>
      <c r="AP113" s="4">
        <v>304</v>
      </c>
      <c r="AQ113" s="4">
        <v>248</v>
      </c>
      <c r="AR113" s="4">
        <v>202</v>
      </c>
      <c r="AS113" s="28">
        <f>AVERAGE(AP113:AR113)</f>
        <v>251.33333333333334</v>
      </c>
      <c r="AT113" s="32">
        <v>260</v>
      </c>
      <c r="AU113" s="32">
        <v>287</v>
      </c>
      <c r="AV113" s="32">
        <v>368</v>
      </c>
      <c r="AW113" s="32">
        <v>157</v>
      </c>
      <c r="AX113" s="32">
        <v>200</v>
      </c>
      <c r="AY113" s="32">
        <v>211</v>
      </c>
      <c r="AZ113" s="33">
        <f t="shared" si="37"/>
        <v>1.6109154929577465</v>
      </c>
      <c r="BA113" s="34">
        <f t="shared" si="55"/>
        <v>305</v>
      </c>
      <c r="BB113" s="41">
        <f t="shared" si="38"/>
        <v>53.666666666666657</v>
      </c>
      <c r="BC113" s="34">
        <f t="shared" si="39"/>
        <v>-294</v>
      </c>
      <c r="BD113" s="28">
        <f t="shared" si="40"/>
        <v>-1.169761273209549</v>
      </c>
      <c r="BE113" s="35">
        <f t="shared" si="56"/>
        <v>-7.2157732680340217E-2</v>
      </c>
      <c r="BF113" t="str">
        <f t="shared" si="57"/>
        <v>紫金矿业</v>
      </c>
    </row>
    <row r="114" spans="1:58" x14ac:dyDescent="0.2">
      <c r="A114" s="1" t="s">
        <v>126</v>
      </c>
      <c r="B114" s="73" t="s">
        <v>47</v>
      </c>
      <c r="C114" s="2"/>
      <c r="D114" s="81">
        <v>27</v>
      </c>
      <c r="E114" s="4">
        <v>265.77999999999997</v>
      </c>
      <c r="F114" s="4">
        <v>5.2</v>
      </c>
      <c r="G114" s="5">
        <f t="shared" si="44"/>
        <v>7176.0599999999995</v>
      </c>
      <c r="H114" s="5">
        <f t="shared" si="45"/>
        <v>5.1923076923076925</v>
      </c>
      <c r="I114" s="24">
        <v>0.38</v>
      </c>
      <c r="J114" s="66">
        <f>F114/F113-1</f>
        <v>0.27450980392156854</v>
      </c>
      <c r="K114" s="26">
        <f t="shared" si="46"/>
        <v>1.4074074074074074E-2</v>
      </c>
      <c r="L114" s="27">
        <f t="shared" si="47"/>
        <v>1.8074509803921566</v>
      </c>
      <c r="M114" s="27">
        <f t="shared" si="48"/>
        <v>1.192715779968395</v>
      </c>
      <c r="N114" s="26">
        <f t="shared" si="49"/>
        <v>0.34758672699849164</v>
      </c>
      <c r="O114" s="27">
        <f t="shared" si="50"/>
        <v>1.2040033110091053</v>
      </c>
      <c r="P114" s="28">
        <f t="shared" si="51"/>
        <v>22.637413249211356</v>
      </c>
      <c r="Q114" s="4">
        <v>3036</v>
      </c>
      <c r="R114" s="4">
        <v>2418</v>
      </c>
      <c r="S114" s="4">
        <v>488</v>
      </c>
      <c r="T114" s="4">
        <v>394</v>
      </c>
      <c r="U114" s="4">
        <v>320</v>
      </c>
      <c r="V114" s="29">
        <f t="shared" si="52"/>
        <v>0.81218274111675126</v>
      </c>
      <c r="W114" s="4">
        <v>317</v>
      </c>
      <c r="X114" s="4">
        <v>7.38</v>
      </c>
      <c r="Y114" s="4">
        <v>77</v>
      </c>
      <c r="Z114" s="2">
        <v>15.8</v>
      </c>
      <c r="AA114" s="4">
        <v>20</v>
      </c>
      <c r="AB114" s="4">
        <f>317+60</f>
        <v>377</v>
      </c>
      <c r="AC114" s="4">
        <v>68</v>
      </c>
      <c r="AD114" s="4">
        <v>333</v>
      </c>
      <c r="AE114" s="4">
        <f>431+162</f>
        <v>593</v>
      </c>
      <c r="AF114" s="4">
        <v>208</v>
      </c>
      <c r="AG114" s="4"/>
      <c r="AH114" s="4">
        <v>307</v>
      </c>
      <c r="AI114" s="4">
        <v>615</v>
      </c>
      <c r="AJ114" s="4">
        <v>3966</v>
      </c>
      <c r="AK114" s="4">
        <v>1777</v>
      </c>
      <c r="AL114" s="4">
        <v>2977</v>
      </c>
      <c r="AM114" s="4">
        <v>998</v>
      </c>
      <c r="AN114" s="5">
        <f t="shared" si="58"/>
        <v>2968</v>
      </c>
      <c r="AO114" s="30">
        <v>489</v>
      </c>
      <c r="AP114" s="4">
        <v>248</v>
      </c>
      <c r="AQ114" s="4">
        <v>304</v>
      </c>
      <c r="AR114" s="4">
        <v>248</v>
      </c>
      <c r="AS114" s="28">
        <f t="shared" si="54"/>
        <v>266.66666666666669</v>
      </c>
      <c r="AT114" s="32">
        <v>287</v>
      </c>
      <c r="AU114" s="32">
        <v>368</v>
      </c>
      <c r="AV114" s="32">
        <v>489</v>
      </c>
      <c r="AW114" s="32">
        <v>321</v>
      </c>
      <c r="AX114" s="32">
        <v>211</v>
      </c>
      <c r="AY114" s="32">
        <v>200</v>
      </c>
      <c r="AZ114" s="33">
        <f t="shared" si="37"/>
        <v>1.5628415300546448</v>
      </c>
      <c r="BA114" s="34">
        <f t="shared" si="55"/>
        <v>381.33333333333331</v>
      </c>
      <c r="BB114" s="41">
        <f t="shared" si="38"/>
        <v>114.66666666666663</v>
      </c>
      <c r="BC114" s="34">
        <f t="shared" si="39"/>
        <v>48</v>
      </c>
      <c r="BD114" s="47">
        <f t="shared" si="40"/>
        <v>0.18</v>
      </c>
      <c r="BE114" s="35">
        <f t="shared" si="56"/>
        <v>6.6889072833839188E-3</v>
      </c>
      <c r="BF114" t="str">
        <f t="shared" si="57"/>
        <v>紫金矿业</v>
      </c>
    </row>
    <row r="115" spans="1:58" x14ac:dyDescent="0.2">
      <c r="A115" s="1" t="s">
        <v>127</v>
      </c>
      <c r="B115" s="2" t="s">
        <v>46</v>
      </c>
      <c r="C115" s="2"/>
      <c r="D115" s="81">
        <v>12</v>
      </c>
      <c r="E115" s="4">
        <v>214.99</v>
      </c>
      <c r="F115" s="4">
        <v>2.92</v>
      </c>
      <c r="G115" s="5">
        <f t="shared" si="44"/>
        <v>2579.88</v>
      </c>
      <c r="H115" s="5">
        <f>D115/F115</f>
        <v>4.1095890410958908</v>
      </c>
      <c r="I115" s="24">
        <v>0.155</v>
      </c>
      <c r="J115" s="66">
        <v>0.15</v>
      </c>
      <c r="K115" s="26">
        <f t="shared" si="46"/>
        <v>1.2916666666666667E-2</v>
      </c>
      <c r="L115" s="27">
        <f t="shared" si="47"/>
        <v>0.59299999999999997</v>
      </c>
      <c r="M115" s="27">
        <f t="shared" si="48"/>
        <v>0.28992046141681005</v>
      </c>
      <c r="N115" s="26">
        <f t="shared" si="49"/>
        <v>0.2030821917808219</v>
      </c>
      <c r="O115" s="27">
        <f t="shared" si="50"/>
        <v>0.44327643146192841</v>
      </c>
      <c r="P115" s="28">
        <f t="shared" si="51"/>
        <v>41.390662602278198</v>
      </c>
      <c r="Q115" s="4">
        <v>1863</v>
      </c>
      <c r="R115" s="4">
        <v>1682</v>
      </c>
      <c r="S115" s="4">
        <v>133</v>
      </c>
      <c r="T115" s="4">
        <v>85</v>
      </c>
      <c r="U115" s="4">
        <v>95.3</v>
      </c>
      <c r="V115" s="29">
        <f t="shared" si="52"/>
        <v>1.1211764705882352</v>
      </c>
      <c r="W115" s="4">
        <v>62.33</v>
      </c>
      <c r="X115" s="4">
        <v>1.55</v>
      </c>
      <c r="Y115" s="4">
        <v>23.87</v>
      </c>
      <c r="Z115" s="2">
        <v>3.27</v>
      </c>
      <c r="AA115" s="4">
        <v>41.38</v>
      </c>
      <c r="AB115" s="4">
        <v>390</v>
      </c>
      <c r="AC115" s="4">
        <v>11.32</v>
      </c>
      <c r="AD115" s="4">
        <v>314.3</v>
      </c>
      <c r="AE115" s="4">
        <v>22.29</v>
      </c>
      <c r="AF115" s="4">
        <v>35.56</v>
      </c>
      <c r="AG115" s="4"/>
      <c r="AH115" s="4">
        <v>250</v>
      </c>
      <c r="AI115" s="4">
        <v>188</v>
      </c>
      <c r="AJ115" s="4">
        <v>1730</v>
      </c>
      <c r="AK115" s="4">
        <v>720</v>
      </c>
      <c r="AL115" s="4">
        <v>910</v>
      </c>
      <c r="AM115" s="4">
        <v>455</v>
      </c>
      <c r="AN115" s="5">
        <f t="shared" si="58"/>
        <v>1275</v>
      </c>
      <c r="AO115" s="30">
        <v>155</v>
      </c>
      <c r="AP115" s="4">
        <v>129</v>
      </c>
      <c r="AQ115" s="4">
        <v>105</v>
      </c>
      <c r="AR115" s="4">
        <v>43</v>
      </c>
      <c r="AS115" s="28">
        <f>AVERAGE(AP115:AR115)</f>
        <v>92.333333333333329</v>
      </c>
      <c r="AT115" s="32">
        <v>62</v>
      </c>
      <c r="AU115" s="32">
        <v>155</v>
      </c>
      <c r="AV115" s="32">
        <v>155</v>
      </c>
      <c r="AW115" s="32">
        <v>51</v>
      </c>
      <c r="AX115" s="32">
        <v>61</v>
      </c>
      <c r="AY115" s="32">
        <v>82.5</v>
      </c>
      <c r="AZ115" s="33">
        <f t="shared" si="37"/>
        <v>1.9125964010282777</v>
      </c>
      <c r="BA115" s="34">
        <f t="shared" si="55"/>
        <v>124</v>
      </c>
      <c r="BB115" s="41">
        <f t="shared" si="38"/>
        <v>31.666666666666671</v>
      </c>
      <c r="BC115" s="34">
        <f t="shared" si="39"/>
        <v>-25.70999999999998</v>
      </c>
      <c r="BD115" s="28">
        <f t="shared" si="40"/>
        <v>-0.2784476534296027</v>
      </c>
      <c r="BE115" s="35">
        <f t="shared" si="56"/>
        <v>-9.9655797944090338E-3</v>
      </c>
      <c r="BF115" t="str">
        <f t="shared" si="57"/>
        <v>洛阳钼业</v>
      </c>
    </row>
    <row r="116" spans="1:58" x14ac:dyDescent="0.2">
      <c r="A116" s="77" t="s">
        <v>128</v>
      </c>
      <c r="B116" s="2" t="s">
        <v>46</v>
      </c>
      <c r="C116" s="2"/>
      <c r="D116" s="55">
        <v>42.68</v>
      </c>
      <c r="E116" s="4">
        <v>26.1</v>
      </c>
      <c r="F116" s="4">
        <v>12.59</v>
      </c>
      <c r="G116" s="5">
        <f t="shared" si="44"/>
        <v>1113.9480000000001</v>
      </c>
      <c r="H116" s="5">
        <f>D116/F116</f>
        <v>3.3899920571882447</v>
      </c>
      <c r="I116" s="24">
        <v>1.3</v>
      </c>
      <c r="J116" s="66">
        <v>7.4999999999999997E-2</v>
      </c>
      <c r="K116" s="26">
        <f t="shared" si="46"/>
        <v>3.0459231490159326E-2</v>
      </c>
      <c r="L116" s="27">
        <f t="shared" si="47"/>
        <v>2.2442500000000001</v>
      </c>
      <c r="M116" s="27">
        <f t="shared" si="48"/>
        <v>2.1072796934865901</v>
      </c>
      <c r="N116" s="26">
        <f t="shared" si="49"/>
        <v>0.17825655281969818</v>
      </c>
      <c r="O116" s="27">
        <f t="shared" si="50"/>
        <v>2.1455938697318007</v>
      </c>
      <c r="P116" s="28">
        <f t="shared" si="51"/>
        <v>20.253600000000002</v>
      </c>
      <c r="Q116" s="4">
        <v>332</v>
      </c>
      <c r="R116" s="4">
        <v>214</v>
      </c>
      <c r="S116" s="4">
        <v>68</v>
      </c>
      <c r="T116" s="4">
        <v>56</v>
      </c>
      <c r="U116" s="4">
        <v>56</v>
      </c>
      <c r="V116" s="29">
        <f t="shared" si="52"/>
        <v>1</v>
      </c>
      <c r="W116" s="4">
        <v>55</v>
      </c>
      <c r="X116" s="4">
        <v>15.4</v>
      </c>
      <c r="Y116" s="4">
        <v>24.9</v>
      </c>
      <c r="Z116" s="2">
        <v>14</v>
      </c>
      <c r="AA116" s="4">
        <v>2.88</v>
      </c>
      <c r="AB116" s="4">
        <v>185</v>
      </c>
      <c r="AC116" s="4">
        <v>71</v>
      </c>
      <c r="AD116" s="4">
        <v>51</v>
      </c>
      <c r="AE116" s="4">
        <v>1.82</v>
      </c>
      <c r="AF116" s="4">
        <v>55</v>
      </c>
      <c r="AG116" s="4"/>
      <c r="AH116" s="4">
        <v>54</v>
      </c>
      <c r="AI116" s="4">
        <v>85</v>
      </c>
      <c r="AJ116" s="4">
        <v>566</v>
      </c>
      <c r="AK116" s="4">
        <v>314</v>
      </c>
      <c r="AL116" s="4">
        <v>246</v>
      </c>
      <c r="AM116" s="4">
        <v>181</v>
      </c>
      <c r="AN116" s="5">
        <f t="shared" si="58"/>
        <v>385</v>
      </c>
      <c r="AO116" s="30">
        <v>76</v>
      </c>
      <c r="AP116" s="4">
        <v>45</v>
      </c>
      <c r="AQ116" s="4">
        <v>31</v>
      </c>
      <c r="AR116" s="4">
        <v>23</v>
      </c>
      <c r="AS116" s="28">
        <f>AVERAGE(AP116:AR116)</f>
        <v>33</v>
      </c>
      <c r="AT116" s="32">
        <v>57</v>
      </c>
      <c r="AU116" s="32">
        <v>59</v>
      </c>
      <c r="AV116" s="32">
        <v>76</v>
      </c>
      <c r="AW116" s="32">
        <v>31</v>
      </c>
      <c r="AX116" s="32">
        <v>48</v>
      </c>
      <c r="AY116" s="32">
        <v>56</v>
      </c>
      <c r="AZ116" s="33">
        <f t="shared" si="37"/>
        <v>1.4222222222222223</v>
      </c>
      <c r="BA116" s="34">
        <f t="shared" si="55"/>
        <v>64</v>
      </c>
      <c r="BB116" s="41">
        <f t="shared" si="38"/>
        <v>31</v>
      </c>
      <c r="BC116" s="34">
        <f t="shared" si="39"/>
        <v>47.819999999999993</v>
      </c>
      <c r="BD116" s="28">
        <f t="shared" si="40"/>
        <v>1.449090909090909</v>
      </c>
      <c r="BE116" s="35">
        <f t="shared" si="56"/>
        <v>4.2928395221320914E-2</v>
      </c>
      <c r="BF116" t="str">
        <f t="shared" si="57"/>
        <v>福耀玻璃</v>
      </c>
    </row>
    <row r="117" spans="1:58" x14ac:dyDescent="0.2">
      <c r="A117" s="1" t="s">
        <v>128</v>
      </c>
      <c r="B117" s="73" t="s">
        <v>47</v>
      </c>
      <c r="C117" s="2"/>
      <c r="D117" s="55">
        <v>71.5</v>
      </c>
      <c r="E117" s="4">
        <v>26.1</v>
      </c>
      <c r="F117" s="4">
        <v>13.68</v>
      </c>
      <c r="G117" s="5">
        <f t="shared" si="44"/>
        <v>1866.15</v>
      </c>
      <c r="H117" s="5">
        <f t="shared" ref="H117:H150" si="59">D117/F117</f>
        <v>5.2266081871345031</v>
      </c>
      <c r="I117" s="24">
        <v>1.8</v>
      </c>
      <c r="J117" s="66">
        <v>0.12</v>
      </c>
      <c r="K117" s="26">
        <f t="shared" si="46"/>
        <v>2.5174825174825177E-2</v>
      </c>
      <c r="L117" s="27">
        <f t="shared" si="47"/>
        <v>3.4416000000000002</v>
      </c>
      <c r="M117" s="27">
        <f t="shared" si="48"/>
        <v>2.8735632183908044</v>
      </c>
      <c r="N117" s="26">
        <f t="shared" si="49"/>
        <v>0.25157894736842107</v>
      </c>
      <c r="O117" s="27">
        <f t="shared" si="50"/>
        <v>2.8735632183908044</v>
      </c>
      <c r="P117" s="28">
        <f t="shared" si="51"/>
        <v>24.882000000000001</v>
      </c>
      <c r="Q117" s="4">
        <v>393</v>
      </c>
      <c r="R117" s="4">
        <v>250</v>
      </c>
      <c r="S117" s="4">
        <v>91</v>
      </c>
      <c r="T117" s="4">
        <v>75</v>
      </c>
      <c r="U117" s="4">
        <v>75</v>
      </c>
      <c r="V117" s="29">
        <f t="shared" si="52"/>
        <v>1</v>
      </c>
      <c r="W117" s="4">
        <v>75</v>
      </c>
      <c r="X117" s="4">
        <v>11.8</v>
      </c>
      <c r="Y117" s="4">
        <v>28.88</v>
      </c>
      <c r="Z117" s="2">
        <v>16.8</v>
      </c>
      <c r="AA117" s="4">
        <v>2.89</v>
      </c>
      <c r="AB117" s="4">
        <v>188</v>
      </c>
      <c r="AC117" s="4">
        <v>82</v>
      </c>
      <c r="AD117" s="4">
        <v>60</v>
      </c>
      <c r="AE117" s="4">
        <v>4.41</v>
      </c>
      <c r="AF117" s="4">
        <v>58</v>
      </c>
      <c r="AG117" s="4"/>
      <c r="AH117" s="4">
        <v>46</v>
      </c>
      <c r="AI117" s="4">
        <v>72</v>
      </c>
      <c r="AJ117" s="4">
        <v>632</v>
      </c>
      <c r="AK117" s="4">
        <v>357</v>
      </c>
      <c r="AL117" s="4">
        <v>269</v>
      </c>
      <c r="AM117" s="4">
        <v>180</v>
      </c>
      <c r="AN117" s="5">
        <f t="shared" si="58"/>
        <v>452</v>
      </c>
      <c r="AO117" s="30">
        <v>85</v>
      </c>
      <c r="AP117" s="4">
        <v>55</v>
      </c>
      <c r="AQ117" s="4">
        <v>45</v>
      </c>
      <c r="AR117" s="4">
        <v>31</v>
      </c>
      <c r="AS117" s="28">
        <f t="shared" si="54"/>
        <v>43.666666666666664</v>
      </c>
      <c r="AT117" s="32">
        <v>59</v>
      </c>
      <c r="AU117" s="32">
        <v>76</v>
      </c>
      <c r="AV117" s="32">
        <v>86</v>
      </c>
      <c r="AW117" s="32">
        <v>48</v>
      </c>
      <c r="AX117" s="32">
        <v>56</v>
      </c>
      <c r="AY117" s="32">
        <v>75</v>
      </c>
      <c r="AZ117" s="33">
        <f t="shared" si="37"/>
        <v>1.23463687150838</v>
      </c>
      <c r="BA117" s="34">
        <f t="shared" si="55"/>
        <v>73.666666666666671</v>
      </c>
      <c r="BB117" s="41">
        <f t="shared" si="38"/>
        <v>30.000000000000007</v>
      </c>
      <c r="BC117" s="34">
        <f t="shared" si="39"/>
        <v>74.41</v>
      </c>
      <c r="BD117" s="28">
        <f t="shared" si="40"/>
        <v>1.7040458015267175</v>
      </c>
      <c r="BE117" s="35">
        <f t="shared" si="56"/>
        <v>3.9873536425260557E-2</v>
      </c>
      <c r="BF117" t="str">
        <f t="shared" si="57"/>
        <v>福耀玻璃</v>
      </c>
    </row>
    <row r="118" spans="1:58" x14ac:dyDescent="0.2">
      <c r="A118" s="1" t="s">
        <v>129</v>
      </c>
      <c r="B118" s="2" t="s">
        <v>46</v>
      </c>
      <c r="C118" s="2"/>
      <c r="D118" s="55">
        <v>86</v>
      </c>
      <c r="E118" s="4">
        <v>1.23</v>
      </c>
      <c r="F118" s="4">
        <v>32.799999999999997</v>
      </c>
      <c r="G118" s="5">
        <f t="shared" si="44"/>
        <v>105.78</v>
      </c>
      <c r="H118" s="5">
        <f t="shared" si="59"/>
        <v>2.6219512195121952</v>
      </c>
      <c r="I118" s="24">
        <v>2.0129999999999999</v>
      </c>
      <c r="J118" s="66">
        <v>0.3</v>
      </c>
      <c r="K118" s="26">
        <f t="shared" si="46"/>
        <v>2.3406976744186046E-2</v>
      </c>
      <c r="L118" s="27">
        <f t="shared" si="47"/>
        <v>11.852999999999998</v>
      </c>
      <c r="M118" s="27">
        <f t="shared" si="48"/>
        <v>3.75609756097561</v>
      </c>
      <c r="N118" s="26">
        <f t="shared" si="49"/>
        <v>0.36137195121951216</v>
      </c>
      <c r="O118" s="27">
        <f t="shared" si="50"/>
        <v>4</v>
      </c>
      <c r="P118" s="28">
        <f t="shared" si="51"/>
        <v>22.896103896103895</v>
      </c>
      <c r="Q118" s="4">
        <v>11.87</v>
      </c>
      <c r="R118" s="4">
        <v>2.8</v>
      </c>
      <c r="S118" s="4">
        <v>5.74</v>
      </c>
      <c r="T118" s="4">
        <v>4.87</v>
      </c>
      <c r="U118" s="4">
        <v>4.92</v>
      </c>
      <c r="V118" s="29">
        <f t="shared" si="52"/>
        <v>1.0102669404517453</v>
      </c>
      <c r="W118" s="4">
        <v>4.62</v>
      </c>
      <c r="X118" s="4">
        <v>1.3</v>
      </c>
      <c r="Y118" s="4">
        <v>0.55000000000000004</v>
      </c>
      <c r="Z118" s="2">
        <v>1.73</v>
      </c>
      <c r="AA118" s="4">
        <v>0</v>
      </c>
      <c r="AB118" s="4">
        <v>30</v>
      </c>
      <c r="AC118" s="4">
        <v>1.48</v>
      </c>
      <c r="AD118" s="4">
        <v>2.11</v>
      </c>
      <c r="AE118" s="4">
        <v>1.22</v>
      </c>
      <c r="AF118" s="4">
        <v>0.4</v>
      </c>
      <c r="AG118" s="4"/>
      <c r="AH118" s="4">
        <v>0</v>
      </c>
      <c r="AI118" s="4">
        <v>0</v>
      </c>
      <c r="AJ118" s="4">
        <v>42.5</v>
      </c>
      <c r="AK118" s="4">
        <v>38.6</v>
      </c>
      <c r="AL118" s="4">
        <v>15.5</v>
      </c>
      <c r="AM118" s="4">
        <v>3.4</v>
      </c>
      <c r="AN118" s="5">
        <f t="shared" si="58"/>
        <v>39.1</v>
      </c>
      <c r="AO118" s="30">
        <v>5.58</v>
      </c>
      <c r="AP118" s="4">
        <v>1.9</v>
      </c>
      <c r="AQ118" s="4">
        <v>2.94</v>
      </c>
      <c r="AR118" s="4">
        <v>0.9</v>
      </c>
      <c r="AS118" s="28">
        <f t="shared" si="54"/>
        <v>1.9133333333333333</v>
      </c>
      <c r="AT118" s="32">
        <v>3</v>
      </c>
      <c r="AU118" s="32">
        <v>3.34</v>
      </c>
      <c r="AV118" s="32">
        <v>5.58</v>
      </c>
      <c r="AW118" s="32">
        <v>3.16</v>
      </c>
      <c r="AX118" s="32">
        <v>3.57</v>
      </c>
      <c r="AY118" s="32">
        <v>4.92</v>
      </c>
      <c r="AZ118" s="33">
        <f t="shared" si="37"/>
        <v>1.0231759656652359</v>
      </c>
      <c r="BA118" s="34">
        <f t="shared" si="55"/>
        <v>3.9733333333333332</v>
      </c>
      <c r="BB118" s="41">
        <f t="shared" si="38"/>
        <v>2.0599999999999996</v>
      </c>
      <c r="BC118" s="34">
        <f t="shared" si="39"/>
        <v>31.22</v>
      </c>
      <c r="BD118" s="28">
        <f t="shared" si="40"/>
        <v>16.317073170731707</v>
      </c>
      <c r="BE118" s="35">
        <f t="shared" si="56"/>
        <v>0.295140858385328</v>
      </c>
      <c r="BF118" t="str">
        <f t="shared" si="57"/>
        <v>心脉医疗</v>
      </c>
    </row>
    <row r="119" spans="1:58" x14ac:dyDescent="0.2">
      <c r="A119" s="1" t="s">
        <v>130</v>
      </c>
      <c r="B119" s="2" t="s">
        <v>46</v>
      </c>
      <c r="C119" s="2"/>
      <c r="D119" s="55">
        <v>30.84</v>
      </c>
      <c r="E119" s="4">
        <v>12.84</v>
      </c>
      <c r="F119" s="4">
        <v>15.84</v>
      </c>
      <c r="G119" s="5">
        <f t="shared" si="44"/>
        <v>395.98559999999998</v>
      </c>
      <c r="H119" s="5">
        <f t="shared" si="59"/>
        <v>1.946969696969697</v>
      </c>
      <c r="I119" s="24">
        <v>1.1539999999999999</v>
      </c>
      <c r="J119" s="66">
        <v>0.1</v>
      </c>
      <c r="K119" s="26">
        <f t="shared" si="46"/>
        <v>3.7418936446173799E-2</v>
      </c>
      <c r="L119" s="27">
        <f t="shared" si="47"/>
        <v>2.738</v>
      </c>
      <c r="M119" s="27">
        <f t="shared" si="48"/>
        <v>2.1113707165109035</v>
      </c>
      <c r="N119" s="26">
        <f t="shared" si="49"/>
        <v>0.17285353535353534</v>
      </c>
      <c r="O119" s="27">
        <f t="shared" si="50"/>
        <v>2.2196261682242993</v>
      </c>
      <c r="P119" s="28">
        <f t="shared" si="51"/>
        <v>14.606624861674659</v>
      </c>
      <c r="Q119" s="4">
        <v>247</v>
      </c>
      <c r="R119" s="4">
        <v>116</v>
      </c>
      <c r="S119" s="4">
        <v>37.5</v>
      </c>
      <c r="T119" s="4">
        <v>31.7</v>
      </c>
      <c r="U119" s="4">
        <v>28.5</v>
      </c>
      <c r="V119" s="29">
        <f t="shared" si="52"/>
        <v>0.89905362776025244</v>
      </c>
      <c r="W119" s="4">
        <v>27.11</v>
      </c>
      <c r="X119" s="4">
        <v>69.7</v>
      </c>
      <c r="Y119" s="4">
        <v>15.2</v>
      </c>
      <c r="Z119" s="2">
        <v>7.15</v>
      </c>
      <c r="AA119" s="4">
        <v>0.8</v>
      </c>
      <c r="AB119" s="4">
        <v>82</v>
      </c>
      <c r="AC119" s="4">
        <v>62</v>
      </c>
      <c r="AD119" s="4">
        <v>51</v>
      </c>
      <c r="AE119" s="4">
        <v>1.44</v>
      </c>
      <c r="AF119" s="4">
        <v>31</v>
      </c>
      <c r="AG119" s="4"/>
      <c r="AH119" s="4">
        <v>8.86</v>
      </c>
      <c r="AI119" s="4">
        <v>18</v>
      </c>
      <c r="AJ119" s="4">
        <v>401</v>
      </c>
      <c r="AK119" s="4">
        <v>243</v>
      </c>
      <c r="AL119" s="4">
        <v>182</v>
      </c>
      <c r="AM119" s="4">
        <v>136</v>
      </c>
      <c r="AN119" s="5">
        <f t="shared" si="58"/>
        <v>265</v>
      </c>
      <c r="AO119" s="30">
        <v>42</v>
      </c>
      <c r="AP119" s="4">
        <v>8.6</v>
      </c>
      <c r="AQ119" s="4">
        <v>9.5</v>
      </c>
      <c r="AR119" s="4">
        <v>8.6999999999999993</v>
      </c>
      <c r="AS119" s="28">
        <f t="shared" si="54"/>
        <v>8.9333333333333336</v>
      </c>
      <c r="AT119" s="32">
        <v>18.899999999999999</v>
      </c>
      <c r="AU119" s="32">
        <v>30</v>
      </c>
      <c r="AV119" s="32">
        <v>42</v>
      </c>
      <c r="AW119" s="32">
        <v>21</v>
      </c>
      <c r="AX119" s="32">
        <v>24.5</v>
      </c>
      <c r="AY119" s="32">
        <v>28.5</v>
      </c>
      <c r="AZ119" s="33">
        <f t="shared" si="37"/>
        <v>1.2283783783783784</v>
      </c>
      <c r="BA119" s="34">
        <f t="shared" si="55"/>
        <v>30.3</v>
      </c>
      <c r="BB119" s="41">
        <f t="shared" si="38"/>
        <v>21.366666666666667</v>
      </c>
      <c r="BC119" s="34">
        <f t="shared" si="39"/>
        <v>56.58</v>
      </c>
      <c r="BD119" s="28">
        <f t="shared" si="40"/>
        <v>6.3335820895522383</v>
      </c>
      <c r="BE119" s="35">
        <f t="shared" si="56"/>
        <v>0.14288398366001187</v>
      </c>
      <c r="BF119" t="str">
        <f t="shared" si="57"/>
        <v>华润三九</v>
      </c>
    </row>
    <row r="120" spans="1:58" x14ac:dyDescent="0.2">
      <c r="A120" s="1" t="s">
        <v>131</v>
      </c>
      <c r="B120" s="2" t="s">
        <v>46</v>
      </c>
      <c r="C120" s="2"/>
      <c r="D120" s="55">
        <v>55</v>
      </c>
      <c r="E120" s="4">
        <v>17.84</v>
      </c>
      <c r="F120" s="4">
        <v>23.14</v>
      </c>
      <c r="G120" s="5">
        <f t="shared" si="44"/>
        <v>981.2</v>
      </c>
      <c r="H120" s="5">
        <f t="shared" si="59"/>
        <v>2.3768366464995676</v>
      </c>
      <c r="I120" s="24">
        <v>2.077</v>
      </c>
      <c r="J120" s="66">
        <v>3.5000000000000003E-2</v>
      </c>
      <c r="K120" s="26">
        <f t="shared" si="46"/>
        <v>3.776363636363636E-2</v>
      </c>
      <c r="L120" s="27">
        <f t="shared" si="47"/>
        <v>2.8868999999999998</v>
      </c>
      <c r="M120" s="27">
        <f t="shared" si="48"/>
        <v>2.1076233183856505</v>
      </c>
      <c r="N120" s="26">
        <f t="shared" si="49"/>
        <v>0.12475799481417457</v>
      </c>
      <c r="O120" s="27">
        <f t="shared" si="50"/>
        <v>2.2982062780269059</v>
      </c>
      <c r="P120" s="28">
        <f t="shared" si="51"/>
        <v>26.095744680851062</v>
      </c>
      <c r="Q120" s="4">
        <v>391</v>
      </c>
      <c r="R120" s="4">
        <v>287</v>
      </c>
      <c r="S120" s="4">
        <v>48</v>
      </c>
      <c r="T120" s="4">
        <v>41</v>
      </c>
      <c r="U120" s="4">
        <v>41</v>
      </c>
      <c r="V120" s="29">
        <f t="shared" si="52"/>
        <v>1</v>
      </c>
      <c r="W120" s="4">
        <v>37.6</v>
      </c>
      <c r="X120" s="4">
        <v>50</v>
      </c>
      <c r="Y120" s="4">
        <v>10.6</v>
      </c>
      <c r="Z120" s="2">
        <v>3.36</v>
      </c>
      <c r="AA120" s="4">
        <v>0.5</v>
      </c>
      <c r="AB120" s="4">
        <v>144</v>
      </c>
      <c r="AC120" s="4">
        <v>102</v>
      </c>
      <c r="AD120" s="4">
        <v>64</v>
      </c>
      <c r="AE120" s="4">
        <v>115</v>
      </c>
      <c r="AF120" s="4">
        <v>62</v>
      </c>
      <c r="AG120" s="4"/>
      <c r="AH120" s="4">
        <v>17.5</v>
      </c>
      <c r="AI120" s="4">
        <v>0</v>
      </c>
      <c r="AJ120" s="4">
        <v>538</v>
      </c>
      <c r="AK120" s="4">
        <v>399</v>
      </c>
      <c r="AL120" s="4">
        <v>188</v>
      </c>
      <c r="AM120" s="4">
        <v>129</v>
      </c>
      <c r="AN120" s="5">
        <f t="shared" si="58"/>
        <v>409</v>
      </c>
      <c r="AO120" s="30">
        <v>35</v>
      </c>
      <c r="AP120" s="4">
        <v>5.8</v>
      </c>
      <c r="AQ120" s="4">
        <v>4.5</v>
      </c>
      <c r="AR120" s="4">
        <v>5.3</v>
      </c>
      <c r="AS120" s="28">
        <f t="shared" si="54"/>
        <v>5.2</v>
      </c>
      <c r="AT120" s="32">
        <v>52</v>
      </c>
      <c r="AU120" s="32">
        <v>32</v>
      </c>
      <c r="AV120" s="32">
        <v>35</v>
      </c>
      <c r="AW120" s="32">
        <v>28</v>
      </c>
      <c r="AX120" s="32">
        <v>30</v>
      </c>
      <c r="AY120" s="32">
        <v>41</v>
      </c>
      <c r="AZ120" s="33">
        <f t="shared" si="37"/>
        <v>1.202020202020202</v>
      </c>
      <c r="BA120" s="34">
        <f t="shared" si="55"/>
        <v>39.666666666666664</v>
      </c>
      <c r="BB120" s="41">
        <f t="shared" si="38"/>
        <v>34.466666666666661</v>
      </c>
      <c r="BC120" s="34">
        <f t="shared" si="39"/>
        <v>241.5</v>
      </c>
      <c r="BD120" s="28">
        <f t="shared" si="40"/>
        <v>46.442307692307693</v>
      </c>
      <c r="BE120" s="35">
        <f t="shared" si="56"/>
        <v>0.24612719119445575</v>
      </c>
      <c r="BF120" t="str">
        <f t="shared" si="57"/>
        <v>云南白药</v>
      </c>
    </row>
    <row r="121" spans="1:58" x14ac:dyDescent="0.2">
      <c r="A121" s="1" t="s">
        <v>132</v>
      </c>
      <c r="B121" s="2" t="s">
        <v>46</v>
      </c>
      <c r="C121" s="2"/>
      <c r="D121" s="55">
        <v>30.83</v>
      </c>
      <c r="E121" s="4">
        <v>9.24</v>
      </c>
      <c r="F121" s="4">
        <v>9.64</v>
      </c>
      <c r="G121" s="5">
        <f t="shared" si="44"/>
        <v>284.86919999999998</v>
      </c>
      <c r="H121" s="5">
        <f t="shared" si="59"/>
        <v>3.1981327800829873</v>
      </c>
      <c r="I121" s="24">
        <v>0.80200000000000005</v>
      </c>
      <c r="J121" s="66">
        <v>0.1</v>
      </c>
      <c r="K121" s="26">
        <f t="shared" si="46"/>
        <v>2.6013623094388587E-2</v>
      </c>
      <c r="L121" s="27">
        <f t="shared" si="47"/>
        <v>1.766</v>
      </c>
      <c r="M121" s="27">
        <f t="shared" si="48"/>
        <v>1.5129870129870131</v>
      </c>
      <c r="N121" s="26">
        <f t="shared" si="49"/>
        <v>0.18319502074688795</v>
      </c>
      <c r="O121" s="27">
        <f t="shared" si="50"/>
        <v>1.6525974025974026</v>
      </c>
      <c r="P121" s="28">
        <f t="shared" si="51"/>
        <v>20.376909871244631</v>
      </c>
      <c r="Q121" s="4">
        <v>234</v>
      </c>
      <c r="R121" s="4">
        <v>189</v>
      </c>
      <c r="S121" s="4">
        <v>19.3</v>
      </c>
      <c r="T121" s="4">
        <v>16.440000000000001</v>
      </c>
      <c r="U121" s="4">
        <v>15.27</v>
      </c>
      <c r="V121" s="29">
        <f t="shared" si="52"/>
        <v>0.92883211678832112</v>
      </c>
      <c r="W121" s="4">
        <v>13.98</v>
      </c>
      <c r="X121" s="4">
        <v>15.5</v>
      </c>
      <c r="Y121" s="4">
        <v>8.1999999999999993</v>
      </c>
      <c r="Z121" s="2">
        <v>1.78</v>
      </c>
      <c r="AA121" s="4">
        <v>0.25</v>
      </c>
      <c r="AB121" s="4">
        <v>66</v>
      </c>
      <c r="AC121" s="4">
        <v>36.26</v>
      </c>
      <c r="AD121" s="4">
        <v>15.8</v>
      </c>
      <c r="AE121" s="4">
        <v>0.4</v>
      </c>
      <c r="AF121" s="4">
        <v>48.5</v>
      </c>
      <c r="AG121" s="4"/>
      <c r="AH121" s="4">
        <v>1.9</v>
      </c>
      <c r="AI121" s="4">
        <v>0.3</v>
      </c>
      <c r="AJ121" s="4">
        <v>153</v>
      </c>
      <c r="AK121" s="4">
        <v>83.5</v>
      </c>
      <c r="AL121" s="4">
        <v>30.3</v>
      </c>
      <c r="AM121" s="4">
        <v>65</v>
      </c>
      <c r="AN121" s="5">
        <f t="shared" si="58"/>
        <v>88</v>
      </c>
      <c r="AO121" s="30">
        <v>26.2</v>
      </c>
      <c r="AP121" s="4">
        <v>3.8</v>
      </c>
      <c r="AQ121" s="4">
        <v>1.6</v>
      </c>
      <c r="AR121" s="4">
        <v>3.8</v>
      </c>
      <c r="AS121" s="28">
        <f t="shared" si="54"/>
        <v>3.0666666666666664</v>
      </c>
      <c r="AT121" s="32">
        <v>15.6</v>
      </c>
      <c r="AU121" s="32">
        <v>13.52</v>
      </c>
      <c r="AV121" s="32">
        <v>26.17</v>
      </c>
      <c r="AW121" s="32">
        <v>15.18</v>
      </c>
      <c r="AX121" s="32">
        <v>12.82</v>
      </c>
      <c r="AY121" s="32">
        <v>15.27</v>
      </c>
      <c r="AZ121" s="33">
        <f t="shared" si="37"/>
        <v>1.277790617055697</v>
      </c>
      <c r="BA121" s="34">
        <f t="shared" si="55"/>
        <v>18.43</v>
      </c>
      <c r="BB121" s="41">
        <f t="shared" si="38"/>
        <v>15.363333333333333</v>
      </c>
      <c r="BC121" s="34">
        <f t="shared" si="39"/>
        <v>64.2</v>
      </c>
      <c r="BD121" s="28">
        <f t="shared" si="40"/>
        <v>20.934782608695656</v>
      </c>
      <c r="BE121" s="35">
        <f t="shared" si="56"/>
        <v>0.22536658929782513</v>
      </c>
      <c r="BF121" t="str">
        <f t="shared" si="57"/>
        <v>晨光股份</v>
      </c>
    </row>
    <row r="122" spans="1:58" x14ac:dyDescent="0.2">
      <c r="A122" s="1" t="s">
        <v>132</v>
      </c>
      <c r="B122" s="73" t="s">
        <v>47</v>
      </c>
      <c r="C122" s="2"/>
      <c r="D122" s="55">
        <v>30.83</v>
      </c>
      <c r="E122" s="4">
        <v>9.2100000000000009</v>
      </c>
      <c r="F122" s="4">
        <v>9.9499999999999993</v>
      </c>
      <c r="G122" s="5">
        <f>D122*E122</f>
        <v>283.9443</v>
      </c>
      <c r="H122" s="5">
        <f>D122/F122</f>
        <v>3.0984924623115577</v>
      </c>
      <c r="I122" s="24">
        <v>0.80200000000000005</v>
      </c>
      <c r="J122" s="66">
        <v>0.01</v>
      </c>
      <c r="K122" s="26">
        <f t="shared" si="46"/>
        <v>2.6013623094388587E-2</v>
      </c>
      <c r="L122" s="27">
        <f t="shared" si="47"/>
        <v>0.90150000000000008</v>
      </c>
      <c r="M122" s="27">
        <f t="shared" si="48"/>
        <v>1.3398479913137893</v>
      </c>
      <c r="N122" s="26">
        <f t="shared" si="49"/>
        <v>9.0603015075376894E-2</v>
      </c>
      <c r="O122" s="27">
        <f t="shared" si="50"/>
        <v>1.5157437567861021</v>
      </c>
      <c r="P122" s="28">
        <f t="shared" si="51"/>
        <v>23.010072933549434</v>
      </c>
      <c r="Q122" s="4">
        <v>242</v>
      </c>
      <c r="R122" s="4">
        <v>197</v>
      </c>
      <c r="S122" s="4">
        <v>17.600000000000001</v>
      </c>
      <c r="T122" s="4">
        <v>14.55</v>
      </c>
      <c r="U122" s="4">
        <v>13.96</v>
      </c>
      <c r="V122" s="29">
        <f>U122/T122</f>
        <v>0.95945017182130587</v>
      </c>
      <c r="W122" s="4">
        <v>12.34</v>
      </c>
      <c r="X122" s="4">
        <v>17.38</v>
      </c>
      <c r="Y122" s="4">
        <v>9.82</v>
      </c>
      <c r="Z122" s="2">
        <v>1.89</v>
      </c>
      <c r="AA122" s="4">
        <v>0.25</v>
      </c>
      <c r="AB122" s="4">
        <v>75</v>
      </c>
      <c r="AC122" s="4">
        <v>38.799999999999997</v>
      </c>
      <c r="AD122" s="4">
        <v>15.46</v>
      </c>
      <c r="AE122" s="4">
        <v>0.4</v>
      </c>
      <c r="AF122" s="4">
        <v>50</v>
      </c>
      <c r="AG122" s="4"/>
      <c r="AH122" s="4">
        <v>3.4</v>
      </c>
      <c r="AI122" s="4">
        <v>0.6</v>
      </c>
      <c r="AJ122" s="4">
        <v>165</v>
      </c>
      <c r="AK122" s="4">
        <v>94</v>
      </c>
      <c r="AL122" s="4">
        <v>30.3</v>
      </c>
      <c r="AM122" s="4">
        <v>67</v>
      </c>
      <c r="AN122" s="5">
        <f>AJ122-AM122</f>
        <v>98</v>
      </c>
      <c r="AO122" s="30">
        <v>22.9</v>
      </c>
      <c r="AP122" s="4">
        <v>3.3</v>
      </c>
      <c r="AQ122" s="4">
        <v>3.8</v>
      </c>
      <c r="AR122" s="4">
        <v>1.6</v>
      </c>
      <c r="AS122" s="28">
        <f>AVERAGE(AP122:AR122)</f>
        <v>2.9</v>
      </c>
      <c r="AT122" s="32">
        <v>15.6</v>
      </c>
      <c r="AU122" s="32">
        <v>13.52</v>
      </c>
      <c r="AV122" s="32">
        <v>26.17</v>
      </c>
      <c r="AW122" s="32">
        <v>15.18</v>
      </c>
      <c r="AX122" s="32">
        <v>12.82</v>
      </c>
      <c r="AY122" s="32">
        <v>15.27</v>
      </c>
      <c r="AZ122" s="33">
        <f t="shared" si="37"/>
        <v>1.277790617055697</v>
      </c>
      <c r="BA122" s="34">
        <f>AVERAGE(AT122:AV122)</f>
        <v>18.43</v>
      </c>
      <c r="BB122" s="41">
        <f t="shared" si="38"/>
        <v>15.53</v>
      </c>
      <c r="BC122" s="34">
        <f t="shared" si="39"/>
        <v>71.400000000000006</v>
      </c>
      <c r="BD122" s="28">
        <f t="shared" si="40"/>
        <v>24.620689655172416</v>
      </c>
      <c r="BE122" s="35">
        <f t="shared" si="56"/>
        <v>0.25145776830174088</v>
      </c>
      <c r="BF122" t="str">
        <f t="shared" si="57"/>
        <v>晨光股份</v>
      </c>
    </row>
    <row r="123" spans="1:58" x14ac:dyDescent="0.2">
      <c r="A123" s="77" t="s">
        <v>133</v>
      </c>
      <c r="B123" s="2" t="s">
        <v>46</v>
      </c>
      <c r="C123" s="2"/>
      <c r="D123" s="55">
        <v>28.63</v>
      </c>
      <c r="E123" s="4">
        <v>9.2200000000000006</v>
      </c>
      <c r="F123" s="4">
        <v>14.5</v>
      </c>
      <c r="G123" s="5">
        <f t="shared" si="44"/>
        <v>263.96859999999998</v>
      </c>
      <c r="H123" s="5">
        <f>D123/F123</f>
        <v>1.9744827586206897</v>
      </c>
      <c r="I123" s="24">
        <v>1.3</v>
      </c>
      <c r="J123" s="66">
        <v>0.17499999999999999</v>
      </c>
      <c r="K123" s="26">
        <f t="shared" si="46"/>
        <v>4.5406915822563745E-2</v>
      </c>
      <c r="L123" s="27">
        <f t="shared" si="47"/>
        <v>3.8374999999999995</v>
      </c>
      <c r="M123" s="27">
        <f t="shared" si="48"/>
        <v>2.917570498915401</v>
      </c>
      <c r="N123" s="26">
        <f t="shared" si="49"/>
        <v>0.26465517241379305</v>
      </c>
      <c r="O123" s="27">
        <f t="shared" si="50"/>
        <v>3.0585683297180042</v>
      </c>
      <c r="P123" s="54">
        <f t="shared" si="51"/>
        <v>9.8129591078066909</v>
      </c>
      <c r="Q123" s="4">
        <v>97</v>
      </c>
      <c r="R123" s="4">
        <v>17.84</v>
      </c>
      <c r="S123" s="4">
        <v>32.6</v>
      </c>
      <c r="T123" s="4">
        <v>28.3</v>
      </c>
      <c r="U123" s="4">
        <v>28.2</v>
      </c>
      <c r="V123" s="29">
        <f>U123/T123</f>
        <v>0.99646643109540634</v>
      </c>
      <c r="W123" s="4">
        <v>26.9</v>
      </c>
      <c r="X123" s="4">
        <v>40</v>
      </c>
      <c r="Y123" s="4">
        <v>3.7</v>
      </c>
      <c r="Z123" s="2">
        <v>4.5999999999999996</v>
      </c>
      <c r="AA123" s="4">
        <v>0.2</v>
      </c>
      <c r="AB123" s="4">
        <v>102</v>
      </c>
      <c r="AC123" s="4">
        <v>27.3</v>
      </c>
      <c r="AD123" s="4">
        <v>4.9000000000000004</v>
      </c>
      <c r="AE123" s="4">
        <v>0</v>
      </c>
      <c r="AF123" s="4">
        <v>21.4</v>
      </c>
      <c r="AG123" s="4"/>
      <c r="AH123" s="4">
        <v>10.4</v>
      </c>
      <c r="AI123" s="4">
        <v>0</v>
      </c>
      <c r="AJ123" s="4">
        <v>181</v>
      </c>
      <c r="AK123" s="4">
        <v>134</v>
      </c>
      <c r="AL123" s="4">
        <v>39</v>
      </c>
      <c r="AM123" s="4">
        <v>46</v>
      </c>
      <c r="AN123" s="5">
        <f t="shared" si="58"/>
        <v>135</v>
      </c>
      <c r="AO123" s="30">
        <v>34.6</v>
      </c>
      <c r="AP123" s="4">
        <v>3</v>
      </c>
      <c r="AQ123" s="4">
        <v>2.44</v>
      </c>
      <c r="AR123" s="13">
        <v>2.5</v>
      </c>
      <c r="AS123" s="28">
        <f>AVERAGE(AP123:AR123)</f>
        <v>2.6466666666666665</v>
      </c>
      <c r="AT123" s="32">
        <v>18.899999999999999</v>
      </c>
      <c r="AU123" s="32">
        <v>26.2</v>
      </c>
      <c r="AV123" s="32">
        <v>34.6</v>
      </c>
      <c r="AW123" s="32">
        <v>17.2</v>
      </c>
      <c r="AX123" s="32">
        <v>21.7</v>
      </c>
      <c r="AY123" s="32">
        <v>28.2</v>
      </c>
      <c r="AZ123" s="33">
        <f t="shared" si="37"/>
        <v>1.187779433681073</v>
      </c>
      <c r="BA123" s="34">
        <f t="shared" si="55"/>
        <v>26.566666666666663</v>
      </c>
      <c r="BB123" s="41">
        <f t="shared" si="38"/>
        <v>23.919999999999995</v>
      </c>
      <c r="BC123" s="34">
        <f t="shared" si="39"/>
        <v>91.6</v>
      </c>
      <c r="BD123" s="28">
        <f t="shared" si="40"/>
        <v>34.609571788413099</v>
      </c>
      <c r="BE123" s="35">
        <f t="shared" si="56"/>
        <v>0.34701097024418814</v>
      </c>
      <c r="BF123" t="str">
        <f t="shared" si="57"/>
        <v>济川药业</v>
      </c>
    </row>
    <row r="124" spans="1:58" x14ac:dyDescent="0.2">
      <c r="A124" s="1" t="s">
        <v>133</v>
      </c>
      <c r="B124" s="73" t="s">
        <v>47</v>
      </c>
      <c r="C124" s="2"/>
      <c r="D124" s="55">
        <v>27.46</v>
      </c>
      <c r="E124" s="4">
        <v>9.2200000000000006</v>
      </c>
      <c r="F124" s="4">
        <v>15.95</v>
      </c>
      <c r="G124" s="5">
        <f t="shared" si="44"/>
        <v>253.18120000000002</v>
      </c>
      <c r="H124" s="5">
        <f t="shared" si="59"/>
        <v>1.7216300940438873</v>
      </c>
      <c r="I124" s="24">
        <v>2.09</v>
      </c>
      <c r="J124" s="66">
        <f>F124/F123-1</f>
        <v>9.9999999999999867E-2</v>
      </c>
      <c r="K124" s="26">
        <f t="shared" si="46"/>
        <v>7.6110706482155857E-2</v>
      </c>
      <c r="L124" s="27">
        <f t="shared" si="47"/>
        <v>3.6849999999999978</v>
      </c>
      <c r="M124" s="27">
        <f t="shared" si="48"/>
        <v>2.4620390455531451</v>
      </c>
      <c r="N124" s="26">
        <f t="shared" si="49"/>
        <v>0.23103448275862057</v>
      </c>
      <c r="O124" s="27">
        <f t="shared" si="50"/>
        <v>2.7440347071583515</v>
      </c>
      <c r="P124" s="54">
        <f t="shared" si="51"/>
        <v>11.153356828193834</v>
      </c>
      <c r="Q124" s="4">
        <v>80</v>
      </c>
      <c r="R124" s="4">
        <v>16.600000000000001</v>
      </c>
      <c r="S124" s="4">
        <v>28.6</v>
      </c>
      <c r="T124" s="4">
        <v>25.4</v>
      </c>
      <c r="U124" s="4">
        <v>25.3</v>
      </c>
      <c r="V124" s="29">
        <f t="shared" si="52"/>
        <v>0.99606299212598437</v>
      </c>
      <c r="W124" s="4">
        <v>22.7</v>
      </c>
      <c r="X124" s="4">
        <v>29.5</v>
      </c>
      <c r="Y124" s="4">
        <v>4.33</v>
      </c>
      <c r="Z124" s="2">
        <v>4.45</v>
      </c>
      <c r="AA124" s="4">
        <v>0.3</v>
      </c>
      <c r="AB124" s="4">
        <v>118.6</v>
      </c>
      <c r="AC124" s="4">
        <v>21.7</v>
      </c>
      <c r="AD124" s="4">
        <v>5.7</v>
      </c>
      <c r="AE124" s="4">
        <v>0</v>
      </c>
      <c r="AF124" s="4">
        <v>17.3</v>
      </c>
      <c r="AG124" s="4"/>
      <c r="AH124" s="4">
        <v>7.87</v>
      </c>
      <c r="AI124" s="4">
        <v>0</v>
      </c>
      <c r="AJ124" s="4">
        <v>185</v>
      </c>
      <c r="AK124" s="4">
        <v>147</v>
      </c>
      <c r="AL124" s="4">
        <v>38</v>
      </c>
      <c r="AM124" s="4">
        <v>35</v>
      </c>
      <c r="AN124" s="5">
        <f t="shared" si="58"/>
        <v>150</v>
      </c>
      <c r="AO124" s="30">
        <v>21.8</v>
      </c>
      <c r="AP124" s="4">
        <v>3</v>
      </c>
      <c r="AQ124" s="4">
        <v>2.44</v>
      </c>
      <c r="AR124" s="13">
        <v>1.74</v>
      </c>
      <c r="AS124" s="28">
        <f t="shared" si="54"/>
        <v>2.3933333333333331</v>
      </c>
      <c r="AT124" s="32">
        <v>21.8</v>
      </c>
      <c r="AU124" s="32">
        <v>26.2</v>
      </c>
      <c r="AV124" s="32">
        <v>34.6</v>
      </c>
      <c r="AW124" s="32">
        <v>25.3</v>
      </c>
      <c r="AX124" s="32">
        <v>21.7</v>
      </c>
      <c r="AY124" s="32">
        <v>28.2</v>
      </c>
      <c r="AZ124" s="33">
        <f t="shared" si="37"/>
        <v>1.0984042553191489</v>
      </c>
      <c r="BA124" s="34">
        <f t="shared" si="55"/>
        <v>27.533333333333331</v>
      </c>
      <c r="BB124" s="41">
        <f t="shared" si="38"/>
        <v>25.139999999999997</v>
      </c>
      <c r="BC124" s="34">
        <f t="shared" si="39"/>
        <v>110.72999999999999</v>
      </c>
      <c r="BD124" s="28">
        <f t="shared" si="40"/>
        <v>46.266016713091922</v>
      </c>
      <c r="BE124" s="35">
        <f t="shared" si="56"/>
        <v>0.43735474829884674</v>
      </c>
      <c r="BF124" t="str">
        <f t="shared" si="57"/>
        <v>济川药业</v>
      </c>
    </row>
    <row r="125" spans="1:58" x14ac:dyDescent="0.2">
      <c r="A125" s="1" t="s">
        <v>134</v>
      </c>
      <c r="B125" s="2" t="s">
        <v>46</v>
      </c>
      <c r="C125" s="2"/>
      <c r="D125" s="55">
        <v>15.75</v>
      </c>
      <c r="E125" s="4">
        <v>5.84</v>
      </c>
      <c r="F125" s="4">
        <v>7.5</v>
      </c>
      <c r="G125" s="5">
        <f t="shared" si="44"/>
        <v>91.98</v>
      </c>
      <c r="H125" s="5">
        <f t="shared" si="59"/>
        <v>2.1</v>
      </c>
      <c r="I125" s="24">
        <v>1.5</v>
      </c>
      <c r="J125" s="66">
        <v>0.12</v>
      </c>
      <c r="K125" s="26">
        <f t="shared" si="46"/>
        <v>9.5238095238095233E-2</v>
      </c>
      <c r="L125" s="27">
        <f t="shared" si="47"/>
        <v>2.4</v>
      </c>
      <c r="M125" s="27">
        <f t="shared" si="48"/>
        <v>1.7123287671232876</v>
      </c>
      <c r="N125" s="26">
        <f t="shared" si="49"/>
        <v>0.32</v>
      </c>
      <c r="O125" s="27">
        <f t="shared" si="50"/>
        <v>1.9178082191780821</v>
      </c>
      <c r="P125" s="54">
        <f t="shared" si="51"/>
        <v>9.1980000000000004</v>
      </c>
      <c r="Q125" s="4">
        <v>57</v>
      </c>
      <c r="R125" s="4">
        <v>25</v>
      </c>
      <c r="S125" s="4">
        <v>13.7</v>
      </c>
      <c r="T125" s="4">
        <v>11.65</v>
      </c>
      <c r="U125" s="4">
        <v>11.2</v>
      </c>
      <c r="V125" s="29">
        <f t="shared" si="52"/>
        <v>0.9613733905579398</v>
      </c>
      <c r="W125" s="4">
        <v>10</v>
      </c>
      <c r="X125" s="4">
        <v>13.67</v>
      </c>
      <c r="Y125" s="4">
        <v>4.7</v>
      </c>
      <c r="Z125" s="2">
        <v>1.3</v>
      </c>
      <c r="AA125" s="4">
        <v>0</v>
      </c>
      <c r="AB125" s="4">
        <v>36</v>
      </c>
      <c r="AC125" s="4">
        <v>0.7</v>
      </c>
      <c r="AD125" s="4">
        <v>8.6999999999999993</v>
      </c>
      <c r="AE125" s="4">
        <v>0.5</v>
      </c>
      <c r="AF125" s="4">
        <v>7.35</v>
      </c>
      <c r="AG125" s="4"/>
      <c r="AH125" s="4">
        <v>0.1</v>
      </c>
      <c r="AI125" s="4">
        <v>0</v>
      </c>
      <c r="AJ125" s="4">
        <v>69</v>
      </c>
      <c r="AK125" s="4">
        <v>50</v>
      </c>
      <c r="AL125" s="4">
        <v>19.399999999999999</v>
      </c>
      <c r="AM125" s="4">
        <v>10.3</v>
      </c>
      <c r="AN125" s="5">
        <f t="shared" si="58"/>
        <v>58.7</v>
      </c>
      <c r="AO125" s="30">
        <v>8.9</v>
      </c>
      <c r="AP125" s="4">
        <v>1.5</v>
      </c>
      <c r="AQ125" s="4">
        <v>1.5</v>
      </c>
      <c r="AR125" s="13">
        <v>1.2</v>
      </c>
      <c r="AS125" s="28">
        <f t="shared" si="54"/>
        <v>1.4000000000000001</v>
      </c>
      <c r="AT125" s="32">
        <v>8.65</v>
      </c>
      <c r="AU125" s="32">
        <v>19.75</v>
      </c>
      <c r="AV125" s="32">
        <v>8.9</v>
      </c>
      <c r="AW125" s="32">
        <v>7</v>
      </c>
      <c r="AX125" s="32">
        <v>8.6999999999999993</v>
      </c>
      <c r="AY125" s="32">
        <v>11.2</v>
      </c>
      <c r="AZ125" s="33">
        <f t="shared" si="37"/>
        <v>1.3866171003717471</v>
      </c>
      <c r="BA125" s="34">
        <f t="shared" si="55"/>
        <v>12.433333333333332</v>
      </c>
      <c r="BB125" s="41">
        <f t="shared" si="38"/>
        <v>11.033333333333331</v>
      </c>
      <c r="BC125" s="34">
        <f t="shared" si="39"/>
        <v>36.4</v>
      </c>
      <c r="BD125" s="28">
        <f t="shared" si="40"/>
        <v>25.999999999999996</v>
      </c>
      <c r="BE125" s="35">
        <f t="shared" si="56"/>
        <v>0.39573820395738202</v>
      </c>
      <c r="BF125" t="str">
        <f t="shared" si="57"/>
        <v>葵花药业</v>
      </c>
    </row>
    <row r="126" spans="1:58" x14ac:dyDescent="0.2">
      <c r="A126" s="1" t="s">
        <v>135</v>
      </c>
      <c r="B126" s="2" t="s">
        <v>46</v>
      </c>
      <c r="C126" s="2"/>
      <c r="D126" s="55">
        <v>172</v>
      </c>
      <c r="E126" s="4">
        <v>44.03</v>
      </c>
      <c r="F126" s="4">
        <v>45</v>
      </c>
      <c r="G126" s="5">
        <f t="shared" si="44"/>
        <v>7573.16</v>
      </c>
      <c r="H126" s="5">
        <f t="shared" si="59"/>
        <v>3.8222222222222224</v>
      </c>
      <c r="I126" s="24">
        <v>4.25</v>
      </c>
      <c r="J126" s="66">
        <v>-0.33</v>
      </c>
      <c r="K126" s="26">
        <f t="shared" si="46"/>
        <v>2.4709302325581394E-2</v>
      </c>
      <c r="L126" s="27">
        <f t="shared" si="47"/>
        <v>-10.600000000000001</v>
      </c>
      <c r="M126" s="27">
        <f t="shared" si="48"/>
        <v>9.1074267544855783</v>
      </c>
      <c r="N126" s="26">
        <f t="shared" si="49"/>
        <v>-0.23555555555555557</v>
      </c>
      <c r="O126" s="27">
        <f t="shared" si="50"/>
        <v>10.015898251192368</v>
      </c>
      <c r="P126" s="54">
        <f t="shared" si="51"/>
        <v>18.885685785536158</v>
      </c>
      <c r="Q126" s="4">
        <v>4009</v>
      </c>
      <c r="R126" s="4">
        <v>3240</v>
      </c>
      <c r="S126" s="4">
        <v>537</v>
      </c>
      <c r="T126" s="4">
        <v>539</v>
      </c>
      <c r="U126" s="4">
        <v>441</v>
      </c>
      <c r="V126" s="29">
        <f t="shared" si="52"/>
        <v>0.81818181818181823</v>
      </c>
      <c r="W126" s="4">
        <v>401</v>
      </c>
      <c r="X126" s="4">
        <v>30</v>
      </c>
      <c r="Y126" s="4">
        <v>85</v>
      </c>
      <c r="Z126" s="2">
        <v>184</v>
      </c>
      <c r="AA126" s="4">
        <v>34</v>
      </c>
      <c r="AB126" s="4">
        <v>3420</v>
      </c>
      <c r="AC126" s="4">
        <v>640</v>
      </c>
      <c r="AD126" s="4">
        <v>454</v>
      </c>
      <c r="AE126" s="4">
        <v>500</v>
      </c>
      <c r="AF126" s="4">
        <v>1945</v>
      </c>
      <c r="AG126" s="4"/>
      <c r="AH126" s="4">
        <v>197</v>
      </c>
      <c r="AI126" s="4">
        <v>812</v>
      </c>
      <c r="AJ126" s="4">
        <v>7172</v>
      </c>
      <c r="AK126" s="4">
        <v>2199</v>
      </c>
      <c r="AL126" s="4">
        <v>2673</v>
      </c>
      <c r="AM126" s="4">
        <v>2870</v>
      </c>
      <c r="AN126" s="5">
        <f t="shared" si="58"/>
        <v>4302</v>
      </c>
      <c r="AO126" s="30">
        <v>928</v>
      </c>
      <c r="AP126" s="4">
        <v>336</v>
      </c>
      <c r="AQ126" s="4">
        <v>482</v>
      </c>
      <c r="AR126" s="13">
        <v>438</v>
      </c>
      <c r="AS126" s="28">
        <f t="shared" si="54"/>
        <v>418.66666666666669</v>
      </c>
      <c r="AT126" s="32">
        <v>928</v>
      </c>
      <c r="AU126" s="32">
        <v>612</v>
      </c>
      <c r="AV126" s="32">
        <v>429</v>
      </c>
      <c r="AW126" s="32">
        <v>467</v>
      </c>
      <c r="AX126" s="32">
        <v>335</v>
      </c>
      <c r="AY126" s="32">
        <v>179</v>
      </c>
      <c r="AZ126" s="33">
        <f t="shared" si="37"/>
        <v>2.0071355759429155</v>
      </c>
      <c r="BA126" s="34">
        <f t="shared" si="55"/>
        <v>656.33333333333337</v>
      </c>
      <c r="BB126" s="41">
        <f t="shared" si="38"/>
        <v>237.66666666666669</v>
      </c>
      <c r="BC126" s="34">
        <f t="shared" si="39"/>
        <v>2911</v>
      </c>
      <c r="BD126" s="28">
        <f t="shared" si="40"/>
        <v>6.9530254777070057</v>
      </c>
      <c r="BE126" s="35">
        <f t="shared" si="56"/>
        <v>0.38438379751649249</v>
      </c>
      <c r="BF126" t="str">
        <f t="shared" si="57"/>
        <v>宁德时代</v>
      </c>
    </row>
    <row r="127" spans="1:58" x14ac:dyDescent="0.2">
      <c r="A127" s="1" t="s">
        <v>135</v>
      </c>
      <c r="B127" s="73" t="s">
        <v>47</v>
      </c>
      <c r="C127" s="2"/>
      <c r="D127" s="55">
        <v>390</v>
      </c>
      <c r="E127" s="4">
        <v>44.03</v>
      </c>
      <c r="F127" s="4">
        <v>59.4</v>
      </c>
      <c r="G127" s="5">
        <f t="shared" si="44"/>
        <v>17171.7</v>
      </c>
      <c r="H127" s="5">
        <f t="shared" si="59"/>
        <v>6.5656565656565657</v>
      </c>
      <c r="I127" s="24">
        <v>4.55</v>
      </c>
      <c r="J127" s="66">
        <v>0.25</v>
      </c>
      <c r="K127" s="26">
        <f t="shared" si="46"/>
        <v>1.1666666666666665E-2</v>
      </c>
      <c r="L127" s="27">
        <f t="shared" si="47"/>
        <v>19.399999999999999</v>
      </c>
      <c r="M127" s="27">
        <f t="shared" si="48"/>
        <v>10.220304337951397</v>
      </c>
      <c r="N127" s="26">
        <f t="shared" si="49"/>
        <v>0.32659932659932656</v>
      </c>
      <c r="O127" s="27">
        <f t="shared" si="50"/>
        <v>11.514876220758573</v>
      </c>
      <c r="P127" s="54">
        <f t="shared" si="51"/>
        <v>38.159333333333336</v>
      </c>
      <c r="Q127" s="4">
        <v>3620</v>
      </c>
      <c r="R127" s="4">
        <v>2735</v>
      </c>
      <c r="S127" s="4">
        <v>640</v>
      </c>
      <c r="T127" s="4">
        <v>540</v>
      </c>
      <c r="U127" s="4">
        <v>507</v>
      </c>
      <c r="V127" s="29">
        <f t="shared" si="52"/>
        <v>0.93888888888888888</v>
      </c>
      <c r="W127" s="4">
        <v>450</v>
      </c>
      <c r="X127" s="4">
        <v>36</v>
      </c>
      <c r="Y127" s="4">
        <v>97</v>
      </c>
      <c r="Z127" s="2">
        <v>186</v>
      </c>
      <c r="AA127" s="4">
        <v>39</v>
      </c>
      <c r="AB127" s="4">
        <v>3178</v>
      </c>
      <c r="AC127" s="4">
        <v>641</v>
      </c>
      <c r="AD127" s="4">
        <v>598</v>
      </c>
      <c r="AE127" s="4">
        <v>548</v>
      </c>
      <c r="AF127" s="4">
        <v>1983</v>
      </c>
      <c r="AG127" s="4"/>
      <c r="AH127" s="4">
        <v>152</v>
      </c>
      <c r="AI127" s="4">
        <v>834</v>
      </c>
      <c r="AJ127" s="4">
        <v>7867</v>
      </c>
      <c r="AK127" s="4">
        <v>2735</v>
      </c>
      <c r="AL127" s="4">
        <v>2765</v>
      </c>
      <c r="AM127" s="4">
        <v>3171</v>
      </c>
      <c r="AN127" s="5">
        <f t="shared" si="58"/>
        <v>4696</v>
      </c>
      <c r="AO127" s="30">
        <v>970</v>
      </c>
      <c r="AP127" s="4">
        <v>312</v>
      </c>
      <c r="AQ127" s="4">
        <v>336</v>
      </c>
      <c r="AR127" s="13">
        <v>482</v>
      </c>
      <c r="AS127" s="28">
        <f t="shared" si="54"/>
        <v>376.66666666666669</v>
      </c>
      <c r="AT127" s="32">
        <v>970</v>
      </c>
      <c r="AU127" s="32">
        <v>928</v>
      </c>
      <c r="AV127" s="32">
        <v>612</v>
      </c>
      <c r="AW127" s="32">
        <v>540</v>
      </c>
      <c r="AX127" s="32">
        <v>467</v>
      </c>
      <c r="AY127" s="32">
        <v>335</v>
      </c>
      <c r="AZ127" s="33">
        <f t="shared" si="37"/>
        <v>1.8703427719821162</v>
      </c>
      <c r="BA127" s="34">
        <f t="shared" si="55"/>
        <v>836.66666666666663</v>
      </c>
      <c r="BB127" s="41">
        <f t="shared" si="38"/>
        <v>459.99999999999994</v>
      </c>
      <c r="BC127" s="34">
        <f t="shared" si="39"/>
        <v>2740</v>
      </c>
      <c r="BD127" s="28">
        <f t="shared" si="40"/>
        <v>7.27433628318584</v>
      </c>
      <c r="BE127" s="35">
        <f t="shared" si="56"/>
        <v>0.15956486544721837</v>
      </c>
      <c r="BF127" t="str">
        <f t="shared" si="57"/>
        <v>宁德时代</v>
      </c>
    </row>
    <row r="128" spans="1:58" x14ac:dyDescent="0.2">
      <c r="A128" s="1" t="s">
        <v>136</v>
      </c>
      <c r="B128" s="73" t="s">
        <v>47</v>
      </c>
      <c r="C128" s="2"/>
      <c r="D128" s="55">
        <v>14.21</v>
      </c>
      <c r="E128" s="4">
        <v>17.78</v>
      </c>
      <c r="F128" s="4">
        <v>4.3899999999999997</v>
      </c>
      <c r="G128" s="5">
        <f t="shared" si="44"/>
        <v>252.65380000000002</v>
      </c>
      <c r="H128" s="5">
        <f t="shared" si="59"/>
        <v>3.2369020501138959</v>
      </c>
      <c r="I128" s="24">
        <v>0.55000000000000004</v>
      </c>
      <c r="J128" s="66">
        <f>4.39/4.22-1</f>
        <v>4.0284360189573487E-2</v>
      </c>
      <c r="K128" s="26">
        <f t="shared" si="46"/>
        <v>3.8705137227304717E-2</v>
      </c>
      <c r="L128" s="27">
        <f t="shared" si="47"/>
        <v>0.72684834123222763</v>
      </c>
      <c r="M128" s="27">
        <f t="shared" si="48"/>
        <v>0.61192350956130481</v>
      </c>
      <c r="N128" s="26">
        <f t="shared" si="49"/>
        <v>0.16556909823057578</v>
      </c>
      <c r="O128" s="27">
        <f t="shared" si="50"/>
        <v>0.61136107986501675</v>
      </c>
      <c r="P128" s="54">
        <f t="shared" si="51"/>
        <v>23.22185661764706</v>
      </c>
      <c r="Q128" s="4">
        <v>53.39</v>
      </c>
      <c r="R128" s="4">
        <v>41.39</v>
      </c>
      <c r="S128" s="4">
        <v>11.27</v>
      </c>
      <c r="T128" s="4">
        <v>10.86</v>
      </c>
      <c r="U128" s="4">
        <v>10.87</v>
      </c>
      <c r="V128" s="29">
        <f t="shared" si="52"/>
        <v>1.0009208103130756</v>
      </c>
      <c r="W128" s="4">
        <v>10.88</v>
      </c>
      <c r="X128" s="4">
        <v>0.55000000000000004</v>
      </c>
      <c r="Y128" s="4">
        <v>6.15</v>
      </c>
      <c r="Z128" s="2">
        <v>1</v>
      </c>
      <c r="AA128" s="4">
        <v>0</v>
      </c>
      <c r="AB128" s="4">
        <v>37</v>
      </c>
      <c r="AC128" s="4">
        <v>0.5</v>
      </c>
      <c r="AD128" s="4">
        <v>1.6</v>
      </c>
      <c r="AE128" s="4">
        <v>3.6</v>
      </c>
      <c r="AF128" s="4">
        <v>1.05</v>
      </c>
      <c r="AG128" s="4"/>
      <c r="AH128" s="4">
        <v>0.5</v>
      </c>
      <c r="AI128" s="4">
        <v>0</v>
      </c>
      <c r="AJ128" s="4">
        <v>90</v>
      </c>
      <c r="AK128" s="4">
        <v>76</v>
      </c>
      <c r="AL128" s="4">
        <v>50</v>
      </c>
      <c r="AM128" s="4">
        <v>11.8</v>
      </c>
      <c r="AN128" s="5">
        <f t="shared" si="58"/>
        <v>78.2</v>
      </c>
      <c r="AO128" s="30">
        <v>15</v>
      </c>
      <c r="AP128" s="4">
        <v>4.45</v>
      </c>
      <c r="AQ128" s="4">
        <v>5.79</v>
      </c>
      <c r="AR128" s="13">
        <v>3.49</v>
      </c>
      <c r="AS128" s="28">
        <f t="shared" si="54"/>
        <v>4.5766666666666671</v>
      </c>
      <c r="AT128" s="32">
        <v>14.94</v>
      </c>
      <c r="AU128" s="32">
        <v>15.15</v>
      </c>
      <c r="AV128" s="32">
        <v>12.59</v>
      </c>
      <c r="AW128" s="32">
        <v>10.86</v>
      </c>
      <c r="AX128" s="32">
        <v>10.84</v>
      </c>
      <c r="AY128" s="32">
        <v>9.4600000000000009</v>
      </c>
      <c r="AZ128" s="33">
        <f t="shared" si="37"/>
        <v>1.3697047496790757</v>
      </c>
      <c r="BA128" s="34">
        <f t="shared" si="55"/>
        <v>14.226666666666667</v>
      </c>
      <c r="BB128" s="41">
        <f t="shared" si="38"/>
        <v>9.6499999999999986</v>
      </c>
      <c r="BC128" s="34">
        <f t="shared" si="39"/>
        <v>40.1</v>
      </c>
      <c r="BD128" s="28">
        <f t="shared" si="40"/>
        <v>8.7618353969410041</v>
      </c>
      <c r="BE128" s="35">
        <f t="shared" si="56"/>
        <v>0.15871520634164218</v>
      </c>
      <c r="BF128" t="str">
        <f t="shared" si="57"/>
        <v>北大荒</v>
      </c>
    </row>
    <row r="129" spans="1:58" x14ac:dyDescent="0.2">
      <c r="A129" s="1" t="s">
        <v>137</v>
      </c>
      <c r="B129" s="73" t="s">
        <v>47</v>
      </c>
      <c r="C129" s="2"/>
      <c r="D129" s="55">
        <v>23.5</v>
      </c>
      <c r="E129" s="4">
        <v>30.37</v>
      </c>
      <c r="F129" s="4">
        <v>9.9600000000000009</v>
      </c>
      <c r="G129" s="5">
        <f t="shared" si="44"/>
        <v>713.69500000000005</v>
      </c>
      <c r="H129" s="5">
        <f t="shared" si="59"/>
        <v>2.3594377510040156</v>
      </c>
      <c r="I129" s="24">
        <v>0.5</v>
      </c>
      <c r="J129" s="66">
        <v>0.01</v>
      </c>
      <c r="K129" s="26">
        <f t="shared" si="46"/>
        <v>2.1276595744680851E-2</v>
      </c>
      <c r="L129" s="27">
        <f t="shared" si="47"/>
        <v>0.59960000000000002</v>
      </c>
      <c r="M129" s="27">
        <f t="shared" si="48"/>
        <v>1.9097793875535067</v>
      </c>
      <c r="N129" s="26">
        <f t="shared" si="49"/>
        <v>6.02008032128514E-2</v>
      </c>
      <c r="O129" s="27">
        <f t="shared" si="50"/>
        <v>1.9427066183733948</v>
      </c>
      <c r="P129" s="54">
        <f t="shared" si="51"/>
        <v>12.305086206896553</v>
      </c>
      <c r="Q129" s="4">
        <v>216</v>
      </c>
      <c r="R129" s="4">
        <v>126</v>
      </c>
      <c r="S129" s="4">
        <v>70</v>
      </c>
      <c r="T129" s="4">
        <v>59</v>
      </c>
      <c r="U129" s="4">
        <v>59</v>
      </c>
      <c r="V129" s="29">
        <f t="shared" si="52"/>
        <v>1</v>
      </c>
      <c r="W129" s="4">
        <v>58</v>
      </c>
      <c r="X129" s="4">
        <v>1.9</v>
      </c>
      <c r="Y129" s="4">
        <v>6</v>
      </c>
      <c r="Z129" s="2">
        <v>10.4</v>
      </c>
      <c r="AA129" s="4">
        <v>1.8</v>
      </c>
      <c r="AB129" s="4">
        <v>80</v>
      </c>
      <c r="AC129" s="4">
        <v>39.5</v>
      </c>
      <c r="AD129" s="4">
        <v>41</v>
      </c>
      <c r="AE129" s="4">
        <v>8.6999999999999993</v>
      </c>
      <c r="AF129" s="4">
        <v>18.5</v>
      </c>
      <c r="AG129" s="4"/>
      <c r="AH129" s="4">
        <v>11.63</v>
      </c>
      <c r="AI129" s="4">
        <v>53.3</v>
      </c>
      <c r="AJ129" s="4">
        <v>430</v>
      </c>
      <c r="AK129" s="4">
        <v>294</v>
      </c>
      <c r="AL129" s="4">
        <v>261</v>
      </c>
      <c r="AM129" s="4">
        <v>69</v>
      </c>
      <c r="AN129" s="5">
        <f t="shared" si="58"/>
        <v>361</v>
      </c>
      <c r="AO129" s="30">
        <v>71</v>
      </c>
      <c r="AP129" s="4">
        <v>16</v>
      </c>
      <c r="AQ129" s="4">
        <v>44</v>
      </c>
      <c r="AR129" s="13">
        <v>24</v>
      </c>
      <c r="AS129" s="28">
        <f t="shared" si="54"/>
        <v>28</v>
      </c>
      <c r="AT129" s="32">
        <v>71</v>
      </c>
      <c r="AU129" s="32">
        <v>51</v>
      </c>
      <c r="AV129" s="32">
        <v>44</v>
      </c>
      <c r="AW129" s="32">
        <v>59</v>
      </c>
      <c r="AX129" s="32">
        <v>27</v>
      </c>
      <c r="AY129" s="32">
        <v>36</v>
      </c>
      <c r="AZ129" s="33">
        <f t="shared" si="37"/>
        <v>1.360655737704918</v>
      </c>
      <c r="BA129" s="34">
        <f t="shared" si="55"/>
        <v>55.333333333333336</v>
      </c>
      <c r="BB129" s="41">
        <f t="shared" si="38"/>
        <v>27.333333333333336</v>
      </c>
      <c r="BC129" s="34">
        <f t="shared" si="39"/>
        <v>23.77000000000001</v>
      </c>
      <c r="BD129" s="28">
        <f t="shared" si="40"/>
        <v>0.84892857142857181</v>
      </c>
      <c r="BE129" s="35">
        <f t="shared" si="56"/>
        <v>3.3305543684627202E-2</v>
      </c>
      <c r="BF129" t="str">
        <f t="shared" si="57"/>
        <v>新和成</v>
      </c>
    </row>
    <row r="130" spans="1:58" x14ac:dyDescent="0.2">
      <c r="A130" s="1" t="s">
        <v>138</v>
      </c>
      <c r="B130" s="73" t="s">
        <v>47</v>
      </c>
      <c r="C130" s="2"/>
      <c r="D130" s="55">
        <v>92.6</v>
      </c>
      <c r="E130" s="4">
        <v>28.88</v>
      </c>
      <c r="F130" s="4">
        <v>21.58</v>
      </c>
      <c r="G130" s="5">
        <f t="shared" si="44"/>
        <v>2674.2879999999996</v>
      </c>
      <c r="H130" s="5">
        <f t="shared" si="59"/>
        <v>4.2910101946246524</v>
      </c>
      <c r="I130" s="24">
        <v>1</v>
      </c>
      <c r="J130" s="66">
        <v>0.1</v>
      </c>
      <c r="K130" s="26">
        <f t="shared" si="46"/>
        <v>1.0799136069114472E-2</v>
      </c>
      <c r="L130" s="27">
        <f t="shared" si="47"/>
        <v>3.1579999999999999</v>
      </c>
      <c r="M130" s="27">
        <f t="shared" si="48"/>
        <v>3.4626038781163437</v>
      </c>
      <c r="N130" s="26">
        <f t="shared" si="49"/>
        <v>0.14633920296570899</v>
      </c>
      <c r="O130" s="27">
        <f t="shared" si="50"/>
        <v>3.2721606648199448</v>
      </c>
      <c r="P130" s="54">
        <f t="shared" si="51"/>
        <v>26.742879999999996</v>
      </c>
      <c r="Q130" s="4">
        <v>392</v>
      </c>
      <c r="R130" s="4">
        <v>230</v>
      </c>
      <c r="S130" s="4">
        <v>116</v>
      </c>
      <c r="T130" s="4">
        <v>95.7</v>
      </c>
      <c r="U130" s="4">
        <v>94.5</v>
      </c>
      <c r="V130" s="29">
        <f t="shared" si="52"/>
        <v>0.98746081504702188</v>
      </c>
      <c r="W130" s="4">
        <v>100</v>
      </c>
      <c r="X130" s="4">
        <v>7.45</v>
      </c>
      <c r="Y130" s="4">
        <v>28.8</v>
      </c>
      <c r="Z130" s="2">
        <v>12.4</v>
      </c>
      <c r="AA130" s="4">
        <v>2.16</v>
      </c>
      <c r="AB130" s="4">
        <v>330</v>
      </c>
      <c r="AC130" s="4">
        <v>85</v>
      </c>
      <c r="AD130" s="4">
        <v>78</v>
      </c>
      <c r="AE130" s="4">
        <v>19</v>
      </c>
      <c r="AF130" s="4">
        <v>11.7</v>
      </c>
      <c r="AG130" s="4"/>
      <c r="AH130" s="4">
        <v>53</v>
      </c>
      <c r="AI130" s="4">
        <v>18</v>
      </c>
      <c r="AJ130" s="4">
        <v>946</v>
      </c>
      <c r="AK130" s="4">
        <v>715</v>
      </c>
      <c r="AL130" s="4">
        <v>408</v>
      </c>
      <c r="AM130" s="4">
        <v>194</v>
      </c>
      <c r="AN130" s="5">
        <f t="shared" si="58"/>
        <v>752</v>
      </c>
      <c r="AO130" s="30">
        <f>124*1.36</f>
        <v>168.64000000000001</v>
      </c>
      <c r="AP130" s="4">
        <v>40</v>
      </c>
      <c r="AQ130" s="4">
        <v>55</v>
      </c>
      <c r="AR130" s="13">
        <v>100</v>
      </c>
      <c r="AS130" s="28">
        <f t="shared" si="54"/>
        <v>65</v>
      </c>
      <c r="AT130" s="32">
        <v>124</v>
      </c>
      <c r="AU130" s="32">
        <v>134</v>
      </c>
      <c r="AV130" s="32">
        <v>106</v>
      </c>
      <c r="AW130" s="32">
        <v>96</v>
      </c>
      <c r="AX130" s="32">
        <v>97</v>
      </c>
      <c r="AY130" s="32">
        <v>89</v>
      </c>
      <c r="AZ130" s="33">
        <f t="shared" si="37"/>
        <v>1.2907801418439717</v>
      </c>
      <c r="BA130" s="34">
        <f t="shared" si="55"/>
        <v>121.33333333333333</v>
      </c>
      <c r="BB130" s="70">
        <f>AO130-AS130</f>
        <v>103.64000000000001</v>
      </c>
      <c r="BC130" s="34">
        <f t="shared" si="39"/>
        <v>278</v>
      </c>
      <c r="BD130" s="28">
        <f t="shared" si="40"/>
        <v>4.2769230769230768</v>
      </c>
      <c r="BE130" s="35">
        <f t="shared" si="56"/>
        <v>0.10395290260435676</v>
      </c>
      <c r="BF130" t="str">
        <f t="shared" si="57"/>
        <v>药明康德</v>
      </c>
    </row>
    <row r="131" spans="1:58" x14ac:dyDescent="0.2">
      <c r="A131" s="1" t="s">
        <v>139</v>
      </c>
      <c r="B131" s="73" t="s">
        <v>47</v>
      </c>
      <c r="C131" s="2"/>
      <c r="D131" s="55">
        <v>59</v>
      </c>
      <c r="E131" s="4">
        <v>7.19</v>
      </c>
      <c r="F131" s="4">
        <v>9.43</v>
      </c>
      <c r="G131" s="5">
        <f t="shared" si="44"/>
        <v>424.21000000000004</v>
      </c>
      <c r="H131" s="5">
        <f t="shared" si="59"/>
        <v>6.2566277836691411</v>
      </c>
      <c r="I131" s="24">
        <v>1.1279999999999999</v>
      </c>
      <c r="J131" s="66">
        <v>0.13</v>
      </c>
      <c r="K131" s="26">
        <f t="shared" si="46"/>
        <v>1.9118644067796609E-2</v>
      </c>
      <c r="L131" s="27">
        <f t="shared" si="47"/>
        <v>2.3538999999999999</v>
      </c>
      <c r="M131" s="27">
        <f t="shared" si="48"/>
        <v>1.4770514603616132</v>
      </c>
      <c r="N131" s="26">
        <f t="shared" si="49"/>
        <v>0.24961823966065746</v>
      </c>
      <c r="O131" s="27">
        <f t="shared" si="50"/>
        <v>1.5076495132127954</v>
      </c>
      <c r="P131" s="54">
        <f t="shared" si="51"/>
        <v>39.94444444444445</v>
      </c>
      <c r="Q131" s="4">
        <v>142</v>
      </c>
      <c r="R131" s="4">
        <v>102</v>
      </c>
      <c r="S131" s="4">
        <v>13.3</v>
      </c>
      <c r="T131" s="4">
        <v>10.85</v>
      </c>
      <c r="U131" s="4">
        <v>10.84</v>
      </c>
      <c r="V131" s="29">
        <f t="shared" si="52"/>
        <v>0.99907834101382487</v>
      </c>
      <c r="W131" s="4">
        <v>10.62</v>
      </c>
      <c r="X131" s="4">
        <v>11</v>
      </c>
      <c r="Y131" s="4">
        <v>8.4</v>
      </c>
      <c r="Z131" s="2">
        <v>8.3000000000000007</v>
      </c>
      <c r="AA131" s="4">
        <v>0.03</v>
      </c>
      <c r="AB131" s="4">
        <v>87</v>
      </c>
      <c r="AC131" s="4">
        <v>11</v>
      </c>
      <c r="AD131" s="4">
        <v>18.399999999999999</v>
      </c>
      <c r="AE131" s="4">
        <v>0</v>
      </c>
      <c r="AF131" s="4">
        <v>62</v>
      </c>
      <c r="AG131" s="4"/>
      <c r="AH131" s="4">
        <v>0</v>
      </c>
      <c r="AI131" s="4">
        <v>0</v>
      </c>
      <c r="AJ131" s="4">
        <v>157</v>
      </c>
      <c r="AK131" s="4">
        <v>62</v>
      </c>
      <c r="AL131" s="4">
        <v>33</v>
      </c>
      <c r="AM131" s="4">
        <v>91.3</v>
      </c>
      <c r="AN131" s="5">
        <f t="shared" si="58"/>
        <v>65.7</v>
      </c>
      <c r="AO131" s="30">
        <v>33.5</v>
      </c>
      <c r="AP131" s="4">
        <v>5.46</v>
      </c>
      <c r="AQ131" s="4">
        <v>8.27</v>
      </c>
      <c r="AR131" s="13">
        <v>4.33</v>
      </c>
      <c r="AS131" s="28">
        <f t="shared" si="54"/>
        <v>6.0200000000000005</v>
      </c>
      <c r="AT131" s="32">
        <v>33.54</v>
      </c>
      <c r="AU131" s="32">
        <v>23.2</v>
      </c>
      <c r="AV131" s="32">
        <v>15.9</v>
      </c>
      <c r="AW131" s="32">
        <v>10.85</v>
      </c>
      <c r="AX131" s="32">
        <v>5.96</v>
      </c>
      <c r="AY131" s="32">
        <v>4.49</v>
      </c>
      <c r="AZ131" s="33">
        <f t="shared" si="37"/>
        <v>3.4103286384976532</v>
      </c>
      <c r="BA131" s="34">
        <f t="shared" si="55"/>
        <v>24.213333333333335</v>
      </c>
      <c r="BB131" s="41">
        <f t="shared" si="38"/>
        <v>18.193333333333335</v>
      </c>
      <c r="BC131" s="34">
        <f t="shared" si="39"/>
        <v>87</v>
      </c>
      <c r="BD131" s="28">
        <f t="shared" si="40"/>
        <v>14.451827242524915</v>
      </c>
      <c r="BE131" s="35">
        <f t="shared" si="56"/>
        <v>0.20508710308573583</v>
      </c>
      <c r="BF131" t="str">
        <f t="shared" si="57"/>
        <v>九号公司</v>
      </c>
    </row>
    <row r="132" spans="1:58" x14ac:dyDescent="0.2">
      <c r="A132" s="1" t="s">
        <v>140</v>
      </c>
      <c r="B132" s="73" t="s">
        <v>47</v>
      </c>
      <c r="C132" s="2"/>
      <c r="D132" s="55">
        <v>23</v>
      </c>
      <c r="E132" s="4">
        <v>5.67</v>
      </c>
      <c r="F132" s="4">
        <v>5.41</v>
      </c>
      <c r="G132" s="5">
        <f t="shared" si="44"/>
        <v>130.41</v>
      </c>
      <c r="H132" s="5">
        <f t="shared" si="59"/>
        <v>4.251386321626617</v>
      </c>
      <c r="I132" s="24">
        <v>0.9</v>
      </c>
      <c r="J132" s="66">
        <v>0.1</v>
      </c>
      <c r="K132" s="26">
        <f t="shared" si="46"/>
        <v>3.9130434782608699E-2</v>
      </c>
      <c r="L132" s="27">
        <f t="shared" si="47"/>
        <v>1.4410000000000001</v>
      </c>
      <c r="M132" s="27">
        <f t="shared" si="48"/>
        <v>1.1322751322751323</v>
      </c>
      <c r="N132" s="39">
        <f t="shared" si="49"/>
        <v>0.26635859519408506</v>
      </c>
      <c r="O132" s="27">
        <f t="shared" si="50"/>
        <v>1.2751322751322751</v>
      </c>
      <c r="P132" s="54">
        <f t="shared" si="51"/>
        <v>20.313084112149532</v>
      </c>
      <c r="Q132" s="4">
        <v>35</v>
      </c>
      <c r="R132" s="4">
        <v>8.5</v>
      </c>
      <c r="S132" s="4">
        <v>8.1</v>
      </c>
      <c r="T132" s="4">
        <v>7.23</v>
      </c>
      <c r="U132" s="4">
        <v>7.23</v>
      </c>
      <c r="V132" s="29">
        <f t="shared" si="52"/>
        <v>1</v>
      </c>
      <c r="W132" s="4">
        <v>6.42</v>
      </c>
      <c r="X132" s="4">
        <v>16</v>
      </c>
      <c r="Y132" s="4">
        <v>1.67</v>
      </c>
      <c r="Z132" s="2">
        <v>1.32</v>
      </c>
      <c r="AA132" s="4">
        <v>0.2</v>
      </c>
      <c r="AB132" s="4">
        <v>12.3</v>
      </c>
      <c r="AC132" s="4">
        <v>3.2</v>
      </c>
      <c r="AD132" s="4">
        <v>4.3499999999999996</v>
      </c>
      <c r="AE132" s="4">
        <v>0.7</v>
      </c>
      <c r="AF132" s="4">
        <v>0.9</v>
      </c>
      <c r="AG132" s="4"/>
      <c r="AH132" s="4">
        <v>0.3</v>
      </c>
      <c r="AI132" s="4">
        <v>0</v>
      </c>
      <c r="AJ132" s="4">
        <v>50</v>
      </c>
      <c r="AK132" s="4">
        <v>31</v>
      </c>
      <c r="AL132" s="4">
        <v>25.6</v>
      </c>
      <c r="AM132" s="4">
        <v>18.739999999999998</v>
      </c>
      <c r="AN132" s="5">
        <f t="shared" si="58"/>
        <v>31.26</v>
      </c>
      <c r="AO132" s="30">
        <v>8.76</v>
      </c>
      <c r="AP132" s="4">
        <v>1.1499999999999999</v>
      </c>
      <c r="AQ132" s="4">
        <v>0.2</v>
      </c>
      <c r="AR132" s="13">
        <v>0.3</v>
      </c>
      <c r="AS132" s="28">
        <f t="shared" si="54"/>
        <v>0.54999999999999993</v>
      </c>
      <c r="AT132" s="32">
        <v>8.1300000000000008</v>
      </c>
      <c r="AU132" s="32">
        <v>8.35</v>
      </c>
      <c r="AV132" s="32">
        <v>8.76</v>
      </c>
      <c r="AW132" s="32">
        <v>7.23</v>
      </c>
      <c r="AX132" s="32">
        <v>5.68</v>
      </c>
      <c r="AY132" s="32">
        <v>4.6500000000000004</v>
      </c>
      <c r="AZ132" s="33">
        <f t="shared" si="37"/>
        <v>1.4373576309794989</v>
      </c>
      <c r="BA132" s="28">
        <f t="shared" si="55"/>
        <v>8.413333333333334</v>
      </c>
      <c r="BB132" s="82">
        <f t="shared" si="38"/>
        <v>7.8633333333333342</v>
      </c>
      <c r="BC132" s="34">
        <f t="shared" si="39"/>
        <v>12.7</v>
      </c>
      <c r="BD132" s="43">
        <f t="shared" si="40"/>
        <v>23.090909090909093</v>
      </c>
      <c r="BE132" s="44">
        <f t="shared" si="56"/>
        <v>9.7385169848937955E-2</v>
      </c>
      <c r="BF132" t="str">
        <f t="shared" si="57"/>
        <v>羚锐制药</v>
      </c>
    </row>
    <row r="133" spans="1:58" x14ac:dyDescent="0.2">
      <c r="A133" s="1" t="s">
        <v>141</v>
      </c>
      <c r="B133" s="73" t="s">
        <v>47</v>
      </c>
      <c r="C133" s="2"/>
      <c r="D133" s="55">
        <v>70</v>
      </c>
      <c r="E133" s="4">
        <v>66.37</v>
      </c>
      <c r="F133" s="4">
        <v>7.37</v>
      </c>
      <c r="G133" s="5">
        <f t="shared" si="44"/>
        <v>4645.9000000000005</v>
      </c>
      <c r="H133" s="5">
        <f t="shared" si="59"/>
        <v>9.4979647218453191</v>
      </c>
      <c r="I133" s="24">
        <v>0.91200000000000003</v>
      </c>
      <c r="J133" s="66">
        <v>7.4999999999999997E-2</v>
      </c>
      <c r="K133" s="26">
        <f t="shared" si="46"/>
        <v>1.3028571428571429E-2</v>
      </c>
      <c r="L133" s="27">
        <f t="shared" si="47"/>
        <v>1.46475</v>
      </c>
      <c r="M133" s="27">
        <f t="shared" si="48"/>
        <v>0.93415699864396562</v>
      </c>
      <c r="N133" s="26">
        <f t="shared" si="49"/>
        <v>0.19874491180461329</v>
      </c>
      <c r="O133" s="27">
        <f t="shared" si="50"/>
        <v>0.94922404700919083</v>
      </c>
      <c r="P133" s="54">
        <f t="shared" si="51"/>
        <v>74.933870967741939</v>
      </c>
      <c r="Q133" s="4">
        <v>280</v>
      </c>
      <c r="R133" s="4">
        <v>38.5</v>
      </c>
      <c r="S133" s="4">
        <v>75</v>
      </c>
      <c r="T133" s="4">
        <v>63</v>
      </c>
      <c r="U133" s="4">
        <v>63</v>
      </c>
      <c r="V133" s="29">
        <f t="shared" si="52"/>
        <v>1</v>
      </c>
      <c r="W133" s="4">
        <v>62</v>
      </c>
      <c r="X133" s="4">
        <v>83</v>
      </c>
      <c r="Y133" s="4">
        <v>26</v>
      </c>
      <c r="Z133" s="2">
        <v>66</v>
      </c>
      <c r="AA133" s="4">
        <v>6</v>
      </c>
      <c r="AB133" s="4">
        <v>251</v>
      </c>
      <c r="AC133" s="4">
        <v>49</v>
      </c>
      <c r="AD133" s="4">
        <v>24</v>
      </c>
      <c r="AE133" s="4">
        <v>6.7</v>
      </c>
      <c r="AF133" s="4">
        <v>20</v>
      </c>
      <c r="AG133" s="4"/>
      <c r="AH133" s="4">
        <v>0</v>
      </c>
      <c r="AI133" s="4">
        <v>0</v>
      </c>
      <c r="AJ133" s="4">
        <v>501</v>
      </c>
      <c r="AK133" s="4">
        <v>461</v>
      </c>
      <c r="AL133" s="4">
        <v>148</v>
      </c>
      <c r="AM133" s="4">
        <v>36</v>
      </c>
      <c r="AN133" s="5">
        <f t="shared" si="58"/>
        <v>465</v>
      </c>
      <c r="AO133" s="30">
        <v>74</v>
      </c>
      <c r="AP133" s="4">
        <v>20</v>
      </c>
      <c r="AQ133" s="4">
        <v>15</v>
      </c>
      <c r="AR133" s="13">
        <v>20</v>
      </c>
      <c r="AS133" s="28">
        <f t="shared" si="54"/>
        <v>18.333333333333332</v>
      </c>
      <c r="AT133" s="32">
        <v>13</v>
      </c>
      <c r="AU133" s="32">
        <v>76</v>
      </c>
      <c r="AV133" s="32">
        <v>74</v>
      </c>
      <c r="AW133" s="32">
        <v>63</v>
      </c>
      <c r="AX133" s="32">
        <v>43</v>
      </c>
      <c r="AY133" s="32">
        <v>38</v>
      </c>
      <c r="AZ133" s="33">
        <f t="shared" si="37"/>
        <v>1.1319444444444444</v>
      </c>
      <c r="BA133" s="34">
        <f t="shared" si="55"/>
        <v>54.333333333333336</v>
      </c>
      <c r="BB133" s="41">
        <f t="shared" si="38"/>
        <v>36</v>
      </c>
      <c r="BC133" s="34">
        <f t="shared" si="39"/>
        <v>257.7</v>
      </c>
      <c r="BD133" s="28">
        <f t="shared" si="40"/>
        <v>14.056363636363637</v>
      </c>
      <c r="BE133" s="35">
        <f t="shared" si="56"/>
        <v>5.5468262338836387E-2</v>
      </c>
      <c r="BF133" t="str">
        <f t="shared" si="57"/>
        <v>恒瑞医药</v>
      </c>
    </row>
    <row r="134" spans="1:58" x14ac:dyDescent="0.2">
      <c r="A134" s="1" t="s">
        <v>142</v>
      </c>
      <c r="B134" s="73" t="s">
        <v>47</v>
      </c>
      <c r="C134" s="2"/>
      <c r="D134" s="55">
        <v>9.6999999999999993</v>
      </c>
      <c r="E134" s="4">
        <v>23.67</v>
      </c>
      <c r="F134" s="4">
        <v>7.92</v>
      </c>
      <c r="G134" s="5">
        <f t="shared" si="44"/>
        <v>229.59899999999999</v>
      </c>
      <c r="H134" s="5">
        <f t="shared" si="59"/>
        <v>1.2247474747474747</v>
      </c>
      <c r="I134" s="24">
        <v>0.157</v>
      </c>
      <c r="J134" s="66">
        <v>0.04</v>
      </c>
      <c r="K134" s="26">
        <f t="shared" si="46"/>
        <v>1.6185567010309279E-2</v>
      </c>
      <c r="L134" s="27">
        <f t="shared" si="47"/>
        <v>0.4738</v>
      </c>
      <c r="M134" s="27">
        <f t="shared" si="48"/>
        <v>0.38276299112801015</v>
      </c>
      <c r="N134" s="26">
        <f t="shared" si="49"/>
        <v>5.9823232323232327E-2</v>
      </c>
      <c r="O134" s="27">
        <f t="shared" si="50"/>
        <v>0.39121250528094631</v>
      </c>
      <c r="P134" s="54">
        <f t="shared" si="51"/>
        <v>25.342052980132447</v>
      </c>
      <c r="Q134" s="4">
        <v>74</v>
      </c>
      <c r="R134" s="4">
        <v>54</v>
      </c>
      <c r="S134" s="4">
        <v>13.4</v>
      </c>
      <c r="T134" s="4">
        <v>9.66</v>
      </c>
      <c r="U134" s="4">
        <v>9.26</v>
      </c>
      <c r="V134" s="29">
        <f t="shared" si="52"/>
        <v>0.95859213250517594</v>
      </c>
      <c r="W134" s="4">
        <v>9.06</v>
      </c>
      <c r="X134" s="4">
        <v>1.27</v>
      </c>
      <c r="Y134" s="4">
        <v>3.79</v>
      </c>
      <c r="Z134" s="2">
        <v>0.5</v>
      </c>
      <c r="AA134" s="4">
        <v>0.7</v>
      </c>
      <c r="AB134" s="4">
        <v>47.3</v>
      </c>
      <c r="AC134" s="4">
        <v>10</v>
      </c>
      <c r="AD134" s="4">
        <v>0.9</v>
      </c>
      <c r="AE134" s="4">
        <v>7.54</v>
      </c>
      <c r="AF134" s="4">
        <v>8.3800000000000008</v>
      </c>
      <c r="AG134" s="4"/>
      <c r="AH134" s="4">
        <v>0</v>
      </c>
      <c r="AI134" s="4">
        <v>0</v>
      </c>
      <c r="AJ134" s="4">
        <v>270</v>
      </c>
      <c r="AK134" s="4">
        <v>186</v>
      </c>
      <c r="AL134" s="4">
        <v>209</v>
      </c>
      <c r="AM134" s="4">
        <v>62</v>
      </c>
      <c r="AN134" s="5">
        <f t="shared" si="58"/>
        <v>208</v>
      </c>
      <c r="AO134" s="30">
        <v>34</v>
      </c>
      <c r="AP134" s="4">
        <v>3.9</v>
      </c>
      <c r="AQ134" s="4">
        <v>6</v>
      </c>
      <c r="AR134" s="13">
        <v>8.6</v>
      </c>
      <c r="AS134" s="28">
        <f t="shared" si="54"/>
        <v>6.166666666666667</v>
      </c>
      <c r="AT134" s="32">
        <v>34</v>
      </c>
      <c r="AU134" s="32">
        <v>23.6</v>
      </c>
      <c r="AV134" s="32">
        <v>8.6999999999999993</v>
      </c>
      <c r="AW134" s="32">
        <v>9.66</v>
      </c>
      <c r="AX134" s="32">
        <v>4.8</v>
      </c>
      <c r="AY134" s="32">
        <v>0</v>
      </c>
      <c r="AZ134" s="33">
        <f t="shared" ref="AZ134:AZ150" si="60">(AT134+AU134+AV134)/(AW134+AX134+AY134)</f>
        <v>4.5850622406639001</v>
      </c>
      <c r="BA134" s="34">
        <f t="shared" si="55"/>
        <v>22.099999999999998</v>
      </c>
      <c r="BB134" s="41">
        <f t="shared" si="38"/>
        <v>15.93333333333333</v>
      </c>
      <c r="BC134" s="34">
        <f t="shared" si="39"/>
        <v>54.839999999999996</v>
      </c>
      <c r="BD134" s="28">
        <f t="shared" si="40"/>
        <v>8.8929729729729718</v>
      </c>
      <c r="BE134" s="35">
        <f t="shared" si="56"/>
        <v>0.238851214508774</v>
      </c>
      <c r="BF134" t="str">
        <f t="shared" si="57"/>
        <v>白云机场</v>
      </c>
    </row>
    <row r="135" spans="1:58" x14ac:dyDescent="0.2">
      <c r="A135" s="1" t="s">
        <v>143</v>
      </c>
      <c r="B135" s="73" t="s">
        <v>47</v>
      </c>
      <c r="C135" s="2"/>
      <c r="D135" s="55">
        <v>74</v>
      </c>
      <c r="E135" s="4">
        <v>2.73</v>
      </c>
      <c r="F135" s="4">
        <v>7.98</v>
      </c>
      <c r="G135" s="5">
        <f t="shared" si="44"/>
        <v>202.02</v>
      </c>
      <c r="H135" s="5">
        <f t="shared" si="59"/>
        <v>9.2731829573934839</v>
      </c>
      <c r="I135" s="24">
        <v>1.6040000000000001</v>
      </c>
      <c r="J135" s="66">
        <v>-0.13</v>
      </c>
      <c r="K135" s="26">
        <f t="shared" si="46"/>
        <v>2.1675675675675677E-2</v>
      </c>
      <c r="L135" s="27">
        <f t="shared" si="47"/>
        <v>0.56659999999999999</v>
      </c>
      <c r="M135" s="27">
        <f t="shared" si="48"/>
        <v>2.0805860805860803</v>
      </c>
      <c r="N135" s="26">
        <f t="shared" si="49"/>
        <v>7.100250626566415E-2</v>
      </c>
      <c r="O135" s="27">
        <f t="shared" si="50"/>
        <v>2.3443223443223444</v>
      </c>
      <c r="P135" s="54">
        <f t="shared" si="51"/>
        <v>35.566901408450711</v>
      </c>
      <c r="Q135" s="4">
        <v>53</v>
      </c>
      <c r="R135" s="4">
        <v>37</v>
      </c>
      <c r="S135" s="4">
        <v>7.2</v>
      </c>
      <c r="T135" s="4">
        <v>6.4</v>
      </c>
      <c r="U135" s="4">
        <v>6.4</v>
      </c>
      <c r="V135" s="29">
        <f t="shared" si="52"/>
        <v>1</v>
      </c>
      <c r="W135" s="4">
        <v>5.68</v>
      </c>
      <c r="X135" s="4">
        <v>6.63</v>
      </c>
      <c r="Y135" s="4">
        <v>2.19</v>
      </c>
      <c r="Z135" s="2">
        <v>0.8</v>
      </c>
      <c r="AA135" s="4">
        <v>0.1</v>
      </c>
      <c r="AB135" s="4">
        <v>2.35</v>
      </c>
      <c r="AC135" s="4">
        <v>2.62</v>
      </c>
      <c r="AD135" s="4">
        <v>7.44</v>
      </c>
      <c r="AE135" s="4">
        <v>0</v>
      </c>
      <c r="AF135" s="4">
        <v>6.34</v>
      </c>
      <c r="AG135" s="4"/>
      <c r="AH135" s="4">
        <v>3.4</v>
      </c>
      <c r="AI135" s="4">
        <v>2.61</v>
      </c>
      <c r="AJ135" s="4">
        <v>36</v>
      </c>
      <c r="AK135" s="4">
        <v>18</v>
      </c>
      <c r="AL135" s="4">
        <v>22</v>
      </c>
      <c r="AM135" s="4">
        <v>15</v>
      </c>
      <c r="AN135" s="5">
        <f t="shared" si="58"/>
        <v>21</v>
      </c>
      <c r="AO135" s="30">
        <v>11.34</v>
      </c>
      <c r="AP135" s="4">
        <v>7.83</v>
      </c>
      <c r="AQ135" s="4">
        <v>3.47</v>
      </c>
      <c r="AR135" s="13">
        <v>2.62</v>
      </c>
      <c r="AS135" s="28">
        <f t="shared" si="54"/>
        <v>4.6400000000000006</v>
      </c>
      <c r="AT135" s="32">
        <v>4.26</v>
      </c>
      <c r="AU135" s="32">
        <v>6.64</v>
      </c>
      <c r="AV135" s="32">
        <v>11.34</v>
      </c>
      <c r="AW135" s="32">
        <v>6.4</v>
      </c>
      <c r="AX135" s="32">
        <v>5.13</v>
      </c>
      <c r="AY135" s="32">
        <v>3</v>
      </c>
      <c r="AZ135" s="33">
        <f t="shared" si="60"/>
        <v>1.5306262904335854</v>
      </c>
      <c r="BA135" s="34">
        <f t="shared" si="55"/>
        <v>7.4133333333333331</v>
      </c>
      <c r="BB135" s="41">
        <f t="shared" si="38"/>
        <v>2.7733333333333325</v>
      </c>
      <c r="BC135" s="34">
        <f t="shared" si="39"/>
        <v>-3.6599999999999997</v>
      </c>
      <c r="BD135" s="28">
        <f t="shared" si="40"/>
        <v>-0.78879310344827569</v>
      </c>
      <c r="BE135" s="35">
        <f t="shared" si="56"/>
        <v>-1.8117018117018116E-2</v>
      </c>
      <c r="BF135" t="str">
        <f t="shared" si="57"/>
        <v>盐津铺子</v>
      </c>
    </row>
    <row r="136" spans="1:58" x14ac:dyDescent="0.2">
      <c r="A136" s="1" t="s">
        <v>144</v>
      </c>
      <c r="B136" s="73" t="s">
        <v>47</v>
      </c>
      <c r="C136" s="2"/>
      <c r="D136" s="55">
        <v>45.6</v>
      </c>
      <c r="E136" s="4">
        <v>72.52</v>
      </c>
      <c r="F136" s="4">
        <v>10.24</v>
      </c>
      <c r="G136" s="5">
        <f t="shared" si="44"/>
        <v>3306.9119999999998</v>
      </c>
      <c r="H136" s="5">
        <f t="shared" si="59"/>
        <v>4.453125</v>
      </c>
      <c r="I136" s="24">
        <v>0.2</v>
      </c>
      <c r="J136" s="66">
        <v>0.2</v>
      </c>
      <c r="K136" s="26">
        <f t="shared" si="46"/>
        <v>4.3859649122807015E-3</v>
      </c>
      <c r="L136" s="27">
        <f t="shared" si="47"/>
        <v>2.2480000000000002</v>
      </c>
      <c r="M136" s="27">
        <f t="shared" si="48"/>
        <v>1.6133480419194706</v>
      </c>
      <c r="N136" s="26">
        <f t="shared" si="49"/>
        <v>0.21953125000000001</v>
      </c>
      <c r="O136" s="27">
        <f t="shared" si="50"/>
        <v>1.8891340319911749</v>
      </c>
      <c r="P136" s="54">
        <f t="shared" si="51"/>
        <v>28.264205128205127</v>
      </c>
      <c r="Q136" s="4">
        <v>2688</v>
      </c>
      <c r="R136" s="4">
        <v>2408</v>
      </c>
      <c r="S136" s="4">
        <v>161</v>
      </c>
      <c r="T136" s="4">
        <v>146</v>
      </c>
      <c r="U136" s="4">
        <v>137</v>
      </c>
      <c r="V136" s="29">
        <f t="shared" si="52"/>
        <v>0.93835616438356162</v>
      </c>
      <c r="W136" s="4">
        <v>117</v>
      </c>
      <c r="X136" s="4">
        <v>10.6</v>
      </c>
      <c r="Y136" s="4">
        <v>63.5</v>
      </c>
      <c r="Z136" s="2">
        <v>85.6</v>
      </c>
      <c r="AA136" s="4">
        <v>14.6</v>
      </c>
      <c r="AB136" s="4">
        <v>498</v>
      </c>
      <c r="AC136" s="4">
        <v>329</v>
      </c>
      <c r="AD136" s="4">
        <v>317</v>
      </c>
      <c r="AE136" s="4">
        <v>75</v>
      </c>
      <c r="AF136" s="4">
        <v>660</v>
      </c>
      <c r="AG136" s="4"/>
      <c r="AH136" s="4">
        <v>353</v>
      </c>
      <c r="AI136" s="4">
        <v>196</v>
      </c>
      <c r="AJ136" s="4">
        <v>2238</v>
      </c>
      <c r="AK136" s="4">
        <v>847</v>
      </c>
      <c r="AL136" s="4">
        <v>853</v>
      </c>
      <c r="AM136" s="4">
        <v>1139</v>
      </c>
      <c r="AN136" s="5">
        <f t="shared" si="58"/>
        <v>1099</v>
      </c>
      <c r="AO136" s="30">
        <v>271</v>
      </c>
      <c r="AP136" s="4">
        <v>121</v>
      </c>
      <c r="AQ136" s="4">
        <v>114</v>
      </c>
      <c r="AR136" s="13">
        <v>136</v>
      </c>
      <c r="AS136" s="28">
        <f t="shared" si="54"/>
        <v>123.66666666666667</v>
      </c>
      <c r="AT136" s="32">
        <v>127</v>
      </c>
      <c r="AU136" s="32">
        <v>276</v>
      </c>
      <c r="AV136" s="32">
        <v>271</v>
      </c>
      <c r="AW136" s="32">
        <v>146</v>
      </c>
      <c r="AX136" s="32">
        <v>122</v>
      </c>
      <c r="AY136" s="32">
        <v>105</v>
      </c>
      <c r="AZ136" s="33">
        <f t="shared" si="60"/>
        <v>1.8069705093833781</v>
      </c>
      <c r="BA136" s="34">
        <f t="shared" si="55"/>
        <v>224.66666666666666</v>
      </c>
      <c r="BB136" s="41">
        <f t="shared" si="38"/>
        <v>100.99999999999999</v>
      </c>
      <c r="BC136" s="34">
        <f t="shared" si="39"/>
        <v>24</v>
      </c>
      <c r="BD136" s="28">
        <f t="shared" si="40"/>
        <v>0.19407008086253369</v>
      </c>
      <c r="BE136" s="35">
        <f t="shared" si="56"/>
        <v>7.2575260545185358E-3</v>
      </c>
      <c r="BF136" t="str">
        <f t="shared" si="57"/>
        <v>立讯精密</v>
      </c>
    </row>
    <row r="137" spans="1:58" x14ac:dyDescent="0.2">
      <c r="A137" s="1" t="s">
        <v>145</v>
      </c>
      <c r="B137" s="73" t="s">
        <v>47</v>
      </c>
      <c r="C137" s="2"/>
      <c r="D137" s="55">
        <v>22.32</v>
      </c>
      <c r="E137" s="4">
        <v>80.319999999999993</v>
      </c>
      <c r="F137" s="4">
        <v>6.07</v>
      </c>
      <c r="G137" s="5">
        <f t="shared" si="44"/>
        <v>1792.7423999999999</v>
      </c>
      <c r="H137" s="5">
        <f t="shared" si="59"/>
        <v>3.6771004942339371</v>
      </c>
      <c r="I137" s="24">
        <v>0.58199999999999996</v>
      </c>
      <c r="J137" s="66">
        <v>0</v>
      </c>
      <c r="K137" s="26">
        <f t="shared" si="46"/>
        <v>2.6075268817204299E-2</v>
      </c>
      <c r="L137" s="27">
        <f t="shared" si="47"/>
        <v>0.58199999999999996</v>
      </c>
      <c r="M137" s="27">
        <f t="shared" si="48"/>
        <v>0.92131474103585664</v>
      </c>
      <c r="N137" s="26">
        <f t="shared" si="49"/>
        <v>9.5881383855024704E-2</v>
      </c>
      <c r="O137" s="27">
        <f t="shared" si="50"/>
        <v>0.94621513944223112</v>
      </c>
      <c r="P137" s="54">
        <f t="shared" si="51"/>
        <v>24.226248648648646</v>
      </c>
      <c r="Q137" s="4">
        <v>574</v>
      </c>
      <c r="R137" s="4">
        <v>421</v>
      </c>
      <c r="S137" s="4">
        <v>91</v>
      </c>
      <c r="T137" s="4">
        <v>81</v>
      </c>
      <c r="U137" s="4">
        <v>76</v>
      </c>
      <c r="V137" s="29">
        <f t="shared" si="52"/>
        <v>0.93827160493827155</v>
      </c>
      <c r="W137" s="4">
        <v>74</v>
      </c>
      <c r="X137" s="4">
        <v>22.6</v>
      </c>
      <c r="Y137" s="4">
        <v>14.5</v>
      </c>
      <c r="Z137" s="2">
        <v>32.4</v>
      </c>
      <c r="AA137" s="4">
        <v>0.3</v>
      </c>
      <c r="AB137" s="4">
        <v>248</v>
      </c>
      <c r="AC137" s="4">
        <v>310</v>
      </c>
      <c r="AD137" s="4">
        <v>113</v>
      </c>
      <c r="AE137" s="4">
        <v>1</v>
      </c>
      <c r="AF137" s="4">
        <v>291</v>
      </c>
      <c r="AG137" s="4"/>
      <c r="AH137" s="4">
        <v>4.8499999999999996</v>
      </c>
      <c r="AI137" s="4">
        <v>0.2</v>
      </c>
      <c r="AJ137" s="4">
        <v>931</v>
      </c>
      <c r="AK137" s="4">
        <v>528</v>
      </c>
      <c r="AL137" s="4">
        <v>175</v>
      </c>
      <c r="AM137" s="4">
        <v>395</v>
      </c>
      <c r="AN137" s="5">
        <f t="shared" si="58"/>
        <v>536</v>
      </c>
      <c r="AO137" s="30">
        <v>111</v>
      </c>
      <c r="AP137" s="4">
        <v>18.3</v>
      </c>
      <c r="AQ137" s="4">
        <v>19.5</v>
      </c>
      <c r="AR137" s="13">
        <v>34.200000000000003</v>
      </c>
      <c r="AS137" s="28">
        <f t="shared" si="54"/>
        <v>24</v>
      </c>
      <c r="AT137" s="32">
        <v>87.6</v>
      </c>
      <c r="AU137" s="32">
        <v>113</v>
      </c>
      <c r="AV137" s="32">
        <v>111</v>
      </c>
      <c r="AW137" s="32">
        <v>81.5</v>
      </c>
      <c r="AX137" s="32">
        <v>76.3</v>
      </c>
      <c r="AY137" s="32">
        <v>69</v>
      </c>
      <c r="AZ137" s="33">
        <f t="shared" si="60"/>
        <v>1.3738977072310405</v>
      </c>
      <c r="BA137" s="34">
        <f t="shared" si="55"/>
        <v>103.86666666666667</v>
      </c>
      <c r="BB137" s="41">
        <f t="shared" ref="BB137:BB150" si="61">BA137-AS137</f>
        <v>79.866666666666674</v>
      </c>
      <c r="BC137" s="34">
        <f t="shared" ref="BC137:BC150" si="62">AB137+AE137-AH137-AI137</f>
        <v>243.95000000000002</v>
      </c>
      <c r="BD137" s="28">
        <f t="shared" ref="BD137:BD150" si="63">BC137/AS137</f>
        <v>10.164583333333335</v>
      </c>
      <c r="BE137" s="35">
        <f t="shared" si="56"/>
        <v>0.1360764379756958</v>
      </c>
      <c r="BF137" t="str">
        <f t="shared" si="57"/>
        <v>国电南瑞</v>
      </c>
    </row>
    <row r="138" spans="1:58" x14ac:dyDescent="0.2">
      <c r="A138" s="73" t="s">
        <v>146</v>
      </c>
      <c r="B138" s="73" t="s">
        <v>47</v>
      </c>
      <c r="C138" s="2"/>
      <c r="D138" s="55">
        <v>17.579999999999998</v>
      </c>
      <c r="E138" s="4">
        <v>13.57</v>
      </c>
      <c r="F138" s="4">
        <v>8.39</v>
      </c>
      <c r="G138" s="5">
        <f t="shared" si="44"/>
        <v>238.56059999999999</v>
      </c>
      <c r="H138" s="5">
        <f t="shared" si="59"/>
        <v>2.0953516090584023</v>
      </c>
      <c r="I138" s="24">
        <v>0.33900000000000002</v>
      </c>
      <c r="J138" s="66">
        <v>0.05</v>
      </c>
      <c r="K138" s="26">
        <f t="shared" si="46"/>
        <v>1.9283276450511949E-2</v>
      </c>
      <c r="L138" s="27">
        <f t="shared" si="47"/>
        <v>0.75850000000000006</v>
      </c>
      <c r="M138" s="27">
        <f t="shared" si="48"/>
        <v>0.73176123802505522</v>
      </c>
      <c r="N138" s="26">
        <f t="shared" si="49"/>
        <v>9.0405244338498211E-2</v>
      </c>
      <c r="O138" s="27">
        <f t="shared" si="50"/>
        <v>0.75165806927044942</v>
      </c>
      <c r="P138" s="54">
        <f t="shared" si="51"/>
        <v>24.024229607250756</v>
      </c>
      <c r="Q138" s="4">
        <v>124</v>
      </c>
      <c r="R138" s="4">
        <v>96</v>
      </c>
      <c r="S138" s="4">
        <v>12.7</v>
      </c>
      <c r="T138" s="4">
        <v>11.2</v>
      </c>
      <c r="U138" s="4">
        <v>10.199999999999999</v>
      </c>
      <c r="V138" s="29">
        <f t="shared" si="52"/>
        <v>0.9107142857142857</v>
      </c>
      <c r="W138" s="4">
        <v>9.93</v>
      </c>
      <c r="X138" s="4">
        <v>5</v>
      </c>
      <c r="Y138" s="4">
        <v>3.8</v>
      </c>
      <c r="Z138" s="2">
        <v>5.5</v>
      </c>
      <c r="AA138" s="4">
        <v>0.02</v>
      </c>
      <c r="AB138" s="4">
        <v>71</v>
      </c>
      <c r="AC138" s="4">
        <v>63.6</v>
      </c>
      <c r="AD138" s="4">
        <v>15.5</v>
      </c>
      <c r="AE138" s="4">
        <v>6.21</v>
      </c>
      <c r="AF138" s="4">
        <v>85.5</v>
      </c>
      <c r="AG138" s="4"/>
      <c r="AH138" s="4">
        <v>0</v>
      </c>
      <c r="AI138" s="4">
        <v>0.4</v>
      </c>
      <c r="AJ138" s="4">
        <v>217</v>
      </c>
      <c r="AK138" s="4">
        <v>110</v>
      </c>
      <c r="AL138" s="4">
        <v>54</v>
      </c>
      <c r="AM138" s="4">
        <v>105</v>
      </c>
      <c r="AN138" s="5">
        <f t="shared" si="58"/>
        <v>112</v>
      </c>
      <c r="AO138" s="30">
        <v>30</v>
      </c>
      <c r="AP138" s="4">
        <v>1.87</v>
      </c>
      <c r="AQ138" s="4">
        <v>1.1299999999999999</v>
      </c>
      <c r="AR138" s="13">
        <v>0.7</v>
      </c>
      <c r="AS138" s="28">
        <f t="shared" si="54"/>
        <v>1.2333333333333334</v>
      </c>
      <c r="AT138" s="32">
        <v>14</v>
      </c>
      <c r="AU138" s="32">
        <v>25</v>
      </c>
      <c r="AV138" s="32">
        <v>30</v>
      </c>
      <c r="AW138" s="32">
        <v>11.2</v>
      </c>
      <c r="AX138" s="32">
        <v>9.1999999999999993</v>
      </c>
      <c r="AY138" s="32">
        <v>3</v>
      </c>
      <c r="AZ138" s="33">
        <f t="shared" si="60"/>
        <v>2.9487179487179489</v>
      </c>
      <c r="BA138" s="34">
        <f t="shared" si="55"/>
        <v>23</v>
      </c>
      <c r="BB138" s="41">
        <f t="shared" si="61"/>
        <v>21.766666666666666</v>
      </c>
      <c r="BC138" s="34">
        <f t="shared" si="62"/>
        <v>76.809999999999988</v>
      </c>
      <c r="BD138" s="28">
        <f t="shared" si="63"/>
        <v>62.278378378378363</v>
      </c>
      <c r="BE138" s="35">
        <f t="shared" si="56"/>
        <v>0.32197269792245659</v>
      </c>
      <c r="BF138" t="str">
        <f t="shared" si="57"/>
        <v>平高电气</v>
      </c>
    </row>
    <row r="139" spans="1:58" x14ac:dyDescent="0.2">
      <c r="A139" s="1" t="s">
        <v>147</v>
      </c>
      <c r="B139" s="73" t="s">
        <v>47</v>
      </c>
      <c r="C139" s="2"/>
      <c r="D139" s="55">
        <v>62.3</v>
      </c>
      <c r="E139" s="4">
        <v>5.15</v>
      </c>
      <c r="F139" s="4">
        <v>12.06</v>
      </c>
      <c r="G139" s="5">
        <f t="shared" si="44"/>
        <v>320.84500000000003</v>
      </c>
      <c r="H139" s="5">
        <f t="shared" si="59"/>
        <v>5.1658374792703148</v>
      </c>
      <c r="I139" s="24">
        <v>0.1</v>
      </c>
      <c r="J139" s="66">
        <v>7.0000000000000007E-2</v>
      </c>
      <c r="K139" s="26">
        <f t="shared" si="46"/>
        <v>1.605136436597111E-3</v>
      </c>
      <c r="L139" s="27">
        <f t="shared" si="47"/>
        <v>0.94420000000000004</v>
      </c>
      <c r="M139" s="27">
        <f t="shared" si="48"/>
        <v>0.63689320388349502</v>
      </c>
      <c r="N139" s="26">
        <f t="shared" si="49"/>
        <v>7.8291873963515751E-2</v>
      </c>
      <c r="O139" s="27">
        <f t="shared" si="50"/>
        <v>0.61165048543689315</v>
      </c>
      <c r="P139" s="54">
        <f t="shared" si="51"/>
        <v>97.818597560975618</v>
      </c>
      <c r="Q139" s="4">
        <v>77.569999999999993</v>
      </c>
      <c r="R139" s="4">
        <v>58</v>
      </c>
      <c r="S139" s="4">
        <v>3.16</v>
      </c>
      <c r="T139" s="4">
        <v>3.28</v>
      </c>
      <c r="U139" s="4">
        <v>3.15</v>
      </c>
      <c r="V139" s="29">
        <f t="shared" si="52"/>
        <v>0.96036585365853666</v>
      </c>
      <c r="W139" s="4">
        <v>3.28</v>
      </c>
      <c r="X139" s="4">
        <v>6.16</v>
      </c>
      <c r="Y139" s="4">
        <v>2.69</v>
      </c>
      <c r="Z139" s="2">
        <v>5.05</v>
      </c>
      <c r="AA139" s="4">
        <v>0.9</v>
      </c>
      <c r="AB139" s="4">
        <v>17.7</v>
      </c>
      <c r="AC139" s="4">
        <v>32.85</v>
      </c>
      <c r="AD139" s="4">
        <v>6.61</v>
      </c>
      <c r="AE139" s="4">
        <v>0.05</v>
      </c>
      <c r="AF139" s="4">
        <v>45</v>
      </c>
      <c r="AG139" s="4"/>
      <c r="AH139" s="4">
        <v>1.71</v>
      </c>
      <c r="AI139" s="4">
        <v>4.9400000000000004</v>
      </c>
      <c r="AJ139" s="4">
        <v>128</v>
      </c>
      <c r="AK139" s="4">
        <v>48</v>
      </c>
      <c r="AL139" s="4">
        <v>61</v>
      </c>
      <c r="AM139" s="4">
        <v>54</v>
      </c>
      <c r="AN139" s="5">
        <f t="shared" si="58"/>
        <v>74</v>
      </c>
      <c r="AO139" s="30">
        <v>15.12</v>
      </c>
      <c r="AP139" s="4">
        <v>3.21</v>
      </c>
      <c r="AQ139" s="4">
        <v>3.05</v>
      </c>
      <c r="AR139" s="13">
        <v>5.91</v>
      </c>
      <c r="AS139" s="28">
        <f t="shared" si="54"/>
        <v>4.0566666666666666</v>
      </c>
      <c r="AT139" s="32">
        <v>14</v>
      </c>
      <c r="AU139" s="32">
        <v>15.95</v>
      </c>
      <c r="AV139" s="32">
        <v>8.31</v>
      </c>
      <c r="AW139" s="32">
        <v>3.28</v>
      </c>
      <c r="AX139" s="32">
        <v>5.21</v>
      </c>
      <c r="AY139" s="32">
        <v>2.65</v>
      </c>
      <c r="AZ139" s="33">
        <f t="shared" si="60"/>
        <v>3.4344703770197484</v>
      </c>
      <c r="BA139" s="34">
        <f t="shared" si="55"/>
        <v>12.753333333333332</v>
      </c>
      <c r="BB139" s="41">
        <f t="shared" si="61"/>
        <v>8.6966666666666654</v>
      </c>
      <c r="BC139" s="34">
        <f t="shared" si="62"/>
        <v>11.099999999999998</v>
      </c>
      <c r="BD139" s="28">
        <f t="shared" si="63"/>
        <v>2.7362366474938367</v>
      </c>
      <c r="BE139" s="35">
        <f t="shared" si="56"/>
        <v>3.4596144555782381E-2</v>
      </c>
      <c r="BF139" t="str">
        <f t="shared" si="57"/>
        <v>科华数据</v>
      </c>
    </row>
    <row r="140" spans="1:58" x14ac:dyDescent="0.2">
      <c r="A140" s="1" t="s">
        <v>148</v>
      </c>
      <c r="B140" s="73" t="s">
        <v>47</v>
      </c>
      <c r="C140" s="2"/>
      <c r="D140" s="55">
        <v>6.88</v>
      </c>
      <c r="E140" s="4">
        <v>51.26</v>
      </c>
      <c r="F140" s="4">
        <v>4.41</v>
      </c>
      <c r="G140" s="5">
        <f t="shared" si="44"/>
        <v>352.66879999999998</v>
      </c>
      <c r="H140" s="5">
        <f t="shared" si="59"/>
        <v>1.5600907029478457</v>
      </c>
      <c r="I140" s="24">
        <v>9.5000000000000001E-2</v>
      </c>
      <c r="J140" s="66">
        <v>0.02</v>
      </c>
      <c r="K140" s="26">
        <f t="shared" si="46"/>
        <v>1.3808139534883721E-2</v>
      </c>
      <c r="L140" s="27">
        <f t="shared" si="47"/>
        <v>0.1832</v>
      </c>
      <c r="M140" s="27">
        <f t="shared" si="48"/>
        <v>0.19449863441279752</v>
      </c>
      <c r="N140" s="26">
        <f t="shared" si="49"/>
        <v>4.1541950113378683E-2</v>
      </c>
      <c r="O140" s="27">
        <f t="shared" si="50"/>
        <v>0.20561841591884508</v>
      </c>
      <c r="P140" s="54">
        <f t="shared" si="51"/>
        <v>35.372998996990965</v>
      </c>
      <c r="Q140" s="4">
        <v>222.8</v>
      </c>
      <c r="R140" s="4">
        <v>175.7</v>
      </c>
      <c r="S140" s="4">
        <v>13.73</v>
      </c>
      <c r="T140" s="4">
        <v>12.2</v>
      </c>
      <c r="U140" s="4">
        <v>10.54</v>
      </c>
      <c r="V140" s="29">
        <f t="shared" si="52"/>
        <v>0.86393442622950822</v>
      </c>
      <c r="W140" s="4">
        <v>9.9700000000000006</v>
      </c>
      <c r="X140" s="4">
        <v>8.7200000000000006</v>
      </c>
      <c r="Y140" s="4">
        <v>14.16</v>
      </c>
      <c r="Z140" s="2">
        <v>8.09</v>
      </c>
      <c r="AA140" s="4">
        <v>0.4</v>
      </c>
      <c r="AB140" s="4">
        <v>106.8</v>
      </c>
      <c r="AC140" s="4">
        <v>101</v>
      </c>
      <c r="AD140" s="4">
        <v>47.2</v>
      </c>
      <c r="AE140" s="4">
        <v>25</v>
      </c>
      <c r="AF140" s="4">
        <v>124</v>
      </c>
      <c r="AG140" s="4"/>
      <c r="AH140" s="4">
        <v>8.65</v>
      </c>
      <c r="AI140" s="4">
        <v>3.3</v>
      </c>
      <c r="AJ140" s="4">
        <v>461</v>
      </c>
      <c r="AK140" s="4">
        <v>248</v>
      </c>
      <c r="AL140" s="4">
        <v>142</v>
      </c>
      <c r="AM140" s="4">
        <v>195</v>
      </c>
      <c r="AN140" s="5">
        <f t="shared" si="58"/>
        <v>266</v>
      </c>
      <c r="AO140" s="30">
        <v>35</v>
      </c>
      <c r="AP140" s="4">
        <v>13.7</v>
      </c>
      <c r="AQ140" s="4">
        <v>6.6</v>
      </c>
      <c r="AR140" s="13">
        <v>4.2</v>
      </c>
      <c r="AS140" s="28">
        <f t="shared" si="54"/>
        <v>8.1666666666666661</v>
      </c>
      <c r="AT140" s="32">
        <v>5.6</v>
      </c>
      <c r="AU140" s="32">
        <v>12.7</v>
      </c>
      <c r="AV140" s="32">
        <v>35</v>
      </c>
      <c r="AW140" s="32">
        <v>12.2</v>
      </c>
      <c r="AX140" s="32">
        <v>10.7</v>
      </c>
      <c r="AY140" s="32">
        <v>7.3</v>
      </c>
      <c r="AZ140" s="33">
        <f t="shared" si="60"/>
        <v>1.7649006622516556</v>
      </c>
      <c r="BA140" s="34">
        <f t="shared" si="55"/>
        <v>17.766666666666666</v>
      </c>
      <c r="BB140" s="41">
        <f t="shared" si="61"/>
        <v>9.6</v>
      </c>
      <c r="BC140" s="34">
        <f t="shared" si="62"/>
        <v>119.85000000000001</v>
      </c>
      <c r="BD140" s="28">
        <f t="shared" si="63"/>
        <v>14.675510204081634</v>
      </c>
      <c r="BE140" s="35">
        <f t="shared" si="56"/>
        <v>0.33983726374434037</v>
      </c>
      <c r="BF140" t="str">
        <f t="shared" si="57"/>
        <v>中国西电</v>
      </c>
    </row>
    <row r="141" spans="1:58" x14ac:dyDescent="0.2">
      <c r="A141" s="1" t="s">
        <v>149</v>
      </c>
      <c r="B141" s="73" t="s">
        <v>47</v>
      </c>
      <c r="C141" s="2"/>
      <c r="D141" s="55">
        <v>47.85</v>
      </c>
      <c r="E141" s="4">
        <v>6.44</v>
      </c>
      <c r="F141" s="4">
        <v>15.45</v>
      </c>
      <c r="G141" s="5">
        <f t="shared" si="44"/>
        <v>308.15400000000005</v>
      </c>
      <c r="H141" s="5">
        <f t="shared" si="59"/>
        <v>3.0970873786407771</v>
      </c>
      <c r="I141" s="24">
        <v>2.5430000000000001</v>
      </c>
      <c r="J141" s="66">
        <v>0</v>
      </c>
      <c r="K141" s="26">
        <f t="shared" si="46"/>
        <v>5.3145245559038663E-2</v>
      </c>
      <c r="L141" s="27">
        <f t="shared" si="47"/>
        <v>2.5430000000000001</v>
      </c>
      <c r="M141" s="27">
        <f t="shared" si="48"/>
        <v>2.2360248447204967</v>
      </c>
      <c r="N141" s="26">
        <f t="shared" si="49"/>
        <v>0.16459546925566346</v>
      </c>
      <c r="O141" s="27">
        <f t="shared" si="50"/>
        <v>2.4223602484472049</v>
      </c>
      <c r="P141" s="54">
        <f t="shared" si="51"/>
        <v>21.399583333333336</v>
      </c>
      <c r="Q141" s="4">
        <v>59</v>
      </c>
      <c r="R141" s="4">
        <v>16.3</v>
      </c>
      <c r="S141" s="4">
        <v>18.5</v>
      </c>
      <c r="T141" s="4">
        <v>15.6</v>
      </c>
      <c r="U141" s="4">
        <v>15.6</v>
      </c>
      <c r="V141" s="29">
        <f t="shared" si="52"/>
        <v>1</v>
      </c>
      <c r="W141" s="4">
        <v>14.4</v>
      </c>
      <c r="X141" s="4">
        <v>19.7</v>
      </c>
      <c r="Y141" s="4">
        <v>4.5</v>
      </c>
      <c r="Z141" s="2">
        <v>1.74</v>
      </c>
      <c r="AA141" s="4">
        <v>0.1</v>
      </c>
      <c r="AB141" s="4">
        <v>85</v>
      </c>
      <c r="AC141" s="4">
        <v>3.35</v>
      </c>
      <c r="AD141" s="4">
        <v>9.26</v>
      </c>
      <c r="AE141" s="4">
        <v>0.7</v>
      </c>
      <c r="AF141" s="4">
        <v>3.59</v>
      </c>
      <c r="AG141" s="4"/>
      <c r="AH141" s="4">
        <v>0</v>
      </c>
      <c r="AI141" s="4">
        <v>0</v>
      </c>
      <c r="AJ141" s="4">
        <v>131</v>
      </c>
      <c r="AK141" s="4">
        <v>103</v>
      </c>
      <c r="AL141" s="4">
        <v>28</v>
      </c>
      <c r="AM141" s="4">
        <v>26</v>
      </c>
      <c r="AN141" s="5">
        <f t="shared" si="58"/>
        <v>105</v>
      </c>
      <c r="AO141" s="30">
        <v>21.7</v>
      </c>
      <c r="AP141" s="4">
        <v>1</v>
      </c>
      <c r="AQ141" s="4">
        <v>0.5</v>
      </c>
      <c r="AR141" s="13">
        <v>0.5</v>
      </c>
      <c r="AS141" s="28">
        <f t="shared" si="54"/>
        <v>0.66666666666666663</v>
      </c>
      <c r="AT141" s="32">
        <v>21.5</v>
      </c>
      <c r="AU141" s="32">
        <v>19.5</v>
      </c>
      <c r="AV141" s="32">
        <v>21.7</v>
      </c>
      <c r="AW141" s="32">
        <v>15.6</v>
      </c>
      <c r="AX141" s="32">
        <v>11.5</v>
      </c>
      <c r="AY141" s="32">
        <v>7.8</v>
      </c>
      <c r="AZ141" s="33">
        <f t="shared" si="60"/>
        <v>1.7965616045845274</v>
      </c>
      <c r="BA141" s="34">
        <f t="shared" si="55"/>
        <v>20.900000000000002</v>
      </c>
      <c r="BB141" s="41">
        <f t="shared" si="61"/>
        <v>20.233333333333334</v>
      </c>
      <c r="BC141" s="34">
        <f t="shared" si="62"/>
        <v>85.7</v>
      </c>
      <c r="BD141" s="28">
        <f t="shared" si="63"/>
        <v>128.55000000000001</v>
      </c>
      <c r="BE141" s="35">
        <f t="shared" si="56"/>
        <v>0.27810769939705465</v>
      </c>
      <c r="BF141" t="str">
        <f t="shared" si="57"/>
        <v>东阿阿胶</v>
      </c>
    </row>
    <row r="142" spans="1:58" x14ac:dyDescent="0.2">
      <c r="A142" s="1" t="s">
        <v>150</v>
      </c>
      <c r="B142" s="73" t="s">
        <v>47</v>
      </c>
      <c r="C142" s="2"/>
      <c r="D142" s="55">
        <v>27</v>
      </c>
      <c r="E142" s="4">
        <v>4.3099999999999996</v>
      </c>
      <c r="F142" s="4">
        <v>9.9700000000000006</v>
      </c>
      <c r="G142" s="5">
        <f t="shared" si="44"/>
        <v>116.36999999999999</v>
      </c>
      <c r="H142" s="5">
        <f t="shared" si="59"/>
        <v>2.7081243731193578</v>
      </c>
      <c r="I142" s="24">
        <v>0.62</v>
      </c>
      <c r="J142" s="66">
        <v>0.08</v>
      </c>
      <c r="K142" s="26">
        <f>I142/D142</f>
        <v>2.2962962962962963E-2</v>
      </c>
      <c r="L142" s="27">
        <f>I142+F142*J142</f>
        <v>1.4176000000000002</v>
      </c>
      <c r="M142" s="27">
        <f>W142/E142</f>
        <v>1.1856148491879352</v>
      </c>
      <c r="N142" s="26">
        <f>L142/F142</f>
        <v>0.14218655967903712</v>
      </c>
      <c r="O142" s="27">
        <f>U142/E142</f>
        <v>1.2250580046403714</v>
      </c>
      <c r="P142" s="54">
        <f>D142*E142/W142</f>
        <v>22.772994129158509</v>
      </c>
      <c r="Q142" s="4">
        <v>37.28</v>
      </c>
      <c r="R142" s="4">
        <v>19.920000000000002</v>
      </c>
      <c r="S142" s="4">
        <v>6.67</v>
      </c>
      <c r="T142" s="4">
        <v>5.48</v>
      </c>
      <c r="U142" s="4">
        <v>5.28</v>
      </c>
      <c r="V142" s="29">
        <f t="shared" si="52"/>
        <v>0.96350364963503643</v>
      </c>
      <c r="W142" s="4">
        <v>5.1100000000000003</v>
      </c>
      <c r="X142" s="4">
        <v>9.3699999999999992</v>
      </c>
      <c r="Y142" s="4">
        <v>1.1399999999999999</v>
      </c>
      <c r="Z142" s="2">
        <v>0.7</v>
      </c>
      <c r="AA142" s="4">
        <v>0.1</v>
      </c>
      <c r="AB142" s="4">
        <v>31.5</v>
      </c>
      <c r="AC142" s="4">
        <v>2.88</v>
      </c>
      <c r="AD142" s="4">
        <v>2.78</v>
      </c>
      <c r="AE142" s="4">
        <v>1.34</v>
      </c>
      <c r="AF142" s="4">
        <v>3.38</v>
      </c>
      <c r="AG142" s="4"/>
      <c r="AH142" s="4">
        <v>0.3</v>
      </c>
      <c r="AI142" s="4">
        <v>0</v>
      </c>
      <c r="AJ142" s="4">
        <v>52</v>
      </c>
      <c r="AK142" s="4">
        <v>42</v>
      </c>
      <c r="AL142" s="4">
        <v>12</v>
      </c>
      <c r="AM142" s="4">
        <v>8</v>
      </c>
      <c r="AN142" s="5">
        <f t="shared" si="58"/>
        <v>44</v>
      </c>
      <c r="AO142" s="30">
        <v>5</v>
      </c>
      <c r="AP142" s="4">
        <v>2</v>
      </c>
      <c r="AQ142" s="4">
        <v>2.5</v>
      </c>
      <c r="AR142" s="13">
        <v>0.8</v>
      </c>
      <c r="AS142" s="28">
        <f t="shared" si="54"/>
        <v>1.7666666666666666</v>
      </c>
      <c r="AT142" s="32">
        <v>3.42</v>
      </c>
      <c r="AU142" s="32">
        <v>6</v>
      </c>
      <c r="AV142" s="32">
        <v>5</v>
      </c>
      <c r="AW142" s="32">
        <v>5.5</v>
      </c>
      <c r="AX142" s="32">
        <v>4.5</v>
      </c>
      <c r="AY142" s="32">
        <v>4.8</v>
      </c>
      <c r="AZ142" s="33">
        <f t="shared" si="60"/>
        <v>0.97432432432432425</v>
      </c>
      <c r="BA142" s="34">
        <f t="shared" si="55"/>
        <v>4.8066666666666666</v>
      </c>
      <c r="BB142" s="41">
        <f t="shared" si="61"/>
        <v>3.04</v>
      </c>
      <c r="BC142" s="34">
        <f t="shared" si="62"/>
        <v>32.540000000000006</v>
      </c>
      <c r="BD142" s="28">
        <f t="shared" si="63"/>
        <v>18.418867924528307</v>
      </c>
      <c r="BE142" s="35">
        <f>BC142/G142</f>
        <v>0.27962533298960218</v>
      </c>
      <c r="BF142" t="str">
        <f t="shared" si="57"/>
        <v>马应龙</v>
      </c>
    </row>
    <row r="143" spans="1:58" x14ac:dyDescent="0.2">
      <c r="A143" s="1" t="s">
        <v>151</v>
      </c>
      <c r="B143" s="73" t="s">
        <v>47</v>
      </c>
      <c r="C143" s="2"/>
      <c r="D143" s="55">
        <v>122.53</v>
      </c>
      <c r="E143" s="4">
        <v>7.81</v>
      </c>
      <c r="F143" s="4">
        <v>18.510000000000002</v>
      </c>
      <c r="G143" s="5">
        <f t="shared" si="44"/>
        <v>956.95929999999998</v>
      </c>
      <c r="H143" s="5">
        <f t="shared" si="59"/>
        <v>6.6196650459211233</v>
      </c>
      <c r="I143" s="24">
        <v>0.498</v>
      </c>
      <c r="J143" s="66">
        <v>0.15</v>
      </c>
      <c r="K143" s="26">
        <f t="shared" si="46"/>
        <v>4.0643107810332162E-3</v>
      </c>
      <c r="L143" s="27">
        <f t="shared" si="47"/>
        <v>3.2744999999999997</v>
      </c>
      <c r="M143" s="27">
        <f t="shared" si="48"/>
        <v>2.4046094750320104</v>
      </c>
      <c r="N143" s="26">
        <f t="shared" si="49"/>
        <v>0.17690437601296594</v>
      </c>
      <c r="O143" s="27">
        <f t="shared" si="50"/>
        <v>2.6248399487836109</v>
      </c>
      <c r="P143" s="54">
        <f t="shared" si="51"/>
        <v>50.956299254526087</v>
      </c>
      <c r="Q143" s="4">
        <v>155</v>
      </c>
      <c r="R143" s="4">
        <v>106</v>
      </c>
      <c r="S143" s="4">
        <v>24.3</v>
      </c>
      <c r="T143" s="4">
        <v>20.85</v>
      </c>
      <c r="U143" s="4">
        <v>20.5</v>
      </c>
      <c r="V143" s="29">
        <f t="shared" si="52"/>
        <v>0.98321342925659461</v>
      </c>
      <c r="W143" s="4">
        <v>18.78</v>
      </c>
      <c r="X143" s="4">
        <v>7.7</v>
      </c>
      <c r="Y143" s="4">
        <v>4.5</v>
      </c>
      <c r="Z143" s="2">
        <v>11.1</v>
      </c>
      <c r="AA143" s="4">
        <v>0.1</v>
      </c>
      <c r="AB143" s="4">
        <v>67</v>
      </c>
      <c r="AC143" s="4">
        <v>66</v>
      </c>
      <c r="AD143" s="4">
        <v>34.799999999999997</v>
      </c>
      <c r="AE143" s="4">
        <v>0.2</v>
      </c>
      <c r="AF143" s="4">
        <v>65</v>
      </c>
      <c r="AG143" s="4"/>
      <c r="AH143" s="4">
        <v>1.5</v>
      </c>
      <c r="AI143" s="4">
        <v>0.3</v>
      </c>
      <c r="AJ143" s="4">
        <v>235</v>
      </c>
      <c r="AK143" s="4">
        <v>126.6</v>
      </c>
      <c r="AL143" s="4">
        <v>45.6</v>
      </c>
      <c r="AM143" s="4">
        <v>106</v>
      </c>
      <c r="AN143" s="5">
        <f t="shared" si="58"/>
        <v>129</v>
      </c>
      <c r="AO143" s="30">
        <v>24.6</v>
      </c>
      <c r="AP143" s="4">
        <v>9.2200000000000006</v>
      </c>
      <c r="AQ143" s="4">
        <v>7.33</v>
      </c>
      <c r="AR143" s="13">
        <v>4.45</v>
      </c>
      <c r="AS143" s="28">
        <f t="shared" si="54"/>
        <v>7</v>
      </c>
      <c r="AT143" s="32">
        <v>10.6</v>
      </c>
      <c r="AU143" s="32">
        <v>22.7</v>
      </c>
      <c r="AV143" s="32">
        <v>24.6</v>
      </c>
      <c r="AW143" s="32">
        <v>20.85</v>
      </c>
      <c r="AX143" s="32">
        <v>16.100000000000001</v>
      </c>
      <c r="AY143" s="32">
        <v>12.9</v>
      </c>
      <c r="AZ143" s="33">
        <f t="shared" si="60"/>
        <v>1.1614844533600801</v>
      </c>
      <c r="BA143" s="34">
        <f t="shared" si="55"/>
        <v>19.3</v>
      </c>
      <c r="BB143" s="41">
        <f t="shared" si="61"/>
        <v>12.3</v>
      </c>
      <c r="BC143" s="34">
        <f t="shared" si="62"/>
        <v>65.400000000000006</v>
      </c>
      <c r="BD143" s="28">
        <f t="shared" si="63"/>
        <v>9.3428571428571434</v>
      </c>
      <c r="BE143" s="35">
        <f t="shared" si="56"/>
        <v>6.8341464469805574E-2</v>
      </c>
      <c r="BF143" t="str">
        <f t="shared" si="57"/>
        <v>思源电气</v>
      </c>
    </row>
    <row r="144" spans="1:58" x14ac:dyDescent="0.2">
      <c r="A144" s="1" t="s">
        <v>152</v>
      </c>
      <c r="B144" s="73" t="s">
        <v>47</v>
      </c>
      <c r="C144" s="2"/>
      <c r="D144" s="55">
        <v>19.190000000000001</v>
      </c>
      <c r="E144" s="4">
        <v>50.53</v>
      </c>
      <c r="F144" s="4">
        <v>13.12</v>
      </c>
      <c r="G144" s="5">
        <f t="shared" si="44"/>
        <v>969.67070000000012</v>
      </c>
      <c r="H144" s="5">
        <f t="shared" si="59"/>
        <v>1.4626524390243905</v>
      </c>
      <c r="I144" s="24">
        <v>0.25</v>
      </c>
      <c r="J144" s="66">
        <v>0.05</v>
      </c>
      <c r="K144" s="26">
        <f t="shared" si="46"/>
        <v>1.3027618551328815E-2</v>
      </c>
      <c r="L144" s="27">
        <f t="shared" si="47"/>
        <v>0.90600000000000003</v>
      </c>
      <c r="M144" s="27">
        <f t="shared" si="48"/>
        <v>0.77181872155155351</v>
      </c>
      <c r="N144" s="26">
        <f t="shared" si="49"/>
        <v>6.9054878048780494E-2</v>
      </c>
      <c r="O144" s="27">
        <f t="shared" si="50"/>
        <v>0.81139916881060759</v>
      </c>
      <c r="P144" s="54">
        <f t="shared" si="51"/>
        <v>24.863351282051287</v>
      </c>
      <c r="Q144" s="4">
        <v>979</v>
      </c>
      <c r="R144" s="4">
        <v>800</v>
      </c>
      <c r="S144" s="4">
        <v>49</v>
      </c>
      <c r="T144" s="4">
        <v>36</v>
      </c>
      <c r="U144" s="4">
        <v>41</v>
      </c>
      <c r="V144" s="29">
        <f t="shared" si="52"/>
        <v>1.1388888888888888</v>
      </c>
      <c r="W144" s="4">
        <v>39</v>
      </c>
      <c r="X144" s="4">
        <v>31</v>
      </c>
      <c r="Y144" s="4">
        <v>36</v>
      </c>
      <c r="Z144" s="2">
        <v>13.5</v>
      </c>
      <c r="AA144" s="4">
        <v>16</v>
      </c>
      <c r="AB144" s="4">
        <v>290</v>
      </c>
      <c r="AC144" s="4">
        <v>188</v>
      </c>
      <c r="AD144" s="4">
        <v>162</v>
      </c>
      <c r="AE144" s="4">
        <v>11</v>
      </c>
      <c r="AF144" s="4">
        <v>499</v>
      </c>
      <c r="AG144" s="4"/>
      <c r="AH144" s="4">
        <v>21</v>
      </c>
      <c r="AI144" s="4">
        <v>330</v>
      </c>
      <c r="AJ144" s="4">
        <v>2080</v>
      </c>
      <c r="AK144" s="4">
        <v>903</v>
      </c>
      <c r="AL144" s="4">
        <v>1240</v>
      </c>
      <c r="AM144" s="4">
        <v>732</v>
      </c>
      <c r="AN144" s="5">
        <f t="shared" si="58"/>
        <v>1348</v>
      </c>
      <c r="AO144" s="30">
        <v>130</v>
      </c>
      <c r="AP144" s="4">
        <v>166</v>
      </c>
      <c r="AQ144" s="4">
        <v>189</v>
      </c>
      <c r="AR144" s="13">
        <v>195</v>
      </c>
      <c r="AS144" s="28">
        <f t="shared" si="54"/>
        <v>183.33333333333334</v>
      </c>
      <c r="AT144" s="32">
        <v>218</v>
      </c>
      <c r="AU144" s="32">
        <v>258</v>
      </c>
      <c r="AV144" s="32">
        <v>130</v>
      </c>
      <c r="AW144" s="32">
        <v>36</v>
      </c>
      <c r="AX144" s="32">
        <v>141</v>
      </c>
      <c r="AY144" s="32">
        <v>229</v>
      </c>
      <c r="AZ144" s="33">
        <f t="shared" si="60"/>
        <v>1.4926108374384237</v>
      </c>
      <c r="BA144" s="34">
        <f t="shared" si="55"/>
        <v>202</v>
      </c>
      <c r="BB144" s="41">
        <f t="shared" si="61"/>
        <v>18.666666666666657</v>
      </c>
      <c r="BC144" s="34">
        <f t="shared" si="62"/>
        <v>-50</v>
      </c>
      <c r="BD144" s="28">
        <f t="shared" si="63"/>
        <v>-0.27272727272727271</v>
      </c>
      <c r="BE144" s="35">
        <f t="shared" si="56"/>
        <v>-5.1563896898194399E-2</v>
      </c>
      <c r="BF144" t="str">
        <f t="shared" si="57"/>
        <v>特变电工</v>
      </c>
    </row>
    <row r="145" spans="1:58" x14ac:dyDescent="0.2">
      <c r="A145" s="1" t="s">
        <v>153</v>
      </c>
      <c r="B145" s="73" t="s">
        <v>47</v>
      </c>
      <c r="C145" s="2"/>
      <c r="D145" s="55">
        <v>18.440000000000001</v>
      </c>
      <c r="E145" s="4">
        <v>73.33</v>
      </c>
      <c r="F145" s="4">
        <v>6.27</v>
      </c>
      <c r="G145" s="5">
        <f t="shared" si="44"/>
        <v>1352.2052000000001</v>
      </c>
      <c r="H145" s="5">
        <f t="shared" si="59"/>
        <v>2.9409888357256784</v>
      </c>
      <c r="I145" s="24">
        <v>0.69</v>
      </c>
      <c r="J145" s="66">
        <v>0.11</v>
      </c>
      <c r="K145" s="26">
        <f t="shared" si="46"/>
        <v>3.7418655097613877E-2</v>
      </c>
      <c r="L145" s="27">
        <f t="shared" si="47"/>
        <v>1.3796999999999999</v>
      </c>
      <c r="M145" s="27">
        <f t="shared" si="48"/>
        <v>0.92458748124914769</v>
      </c>
      <c r="N145" s="26">
        <f t="shared" si="49"/>
        <v>0.22004784688995216</v>
      </c>
      <c r="O145" s="27">
        <f t="shared" si="50"/>
        <v>0.86431201418246284</v>
      </c>
      <c r="P145" s="54">
        <f t="shared" si="51"/>
        <v>19.944029498525076</v>
      </c>
      <c r="Q145" s="4">
        <v>330</v>
      </c>
      <c r="R145" s="4">
        <v>221</v>
      </c>
      <c r="S145" s="4">
        <v>78</v>
      </c>
      <c r="T145" s="4">
        <v>63.38</v>
      </c>
      <c r="U145" s="4">
        <v>63.38</v>
      </c>
      <c r="V145" s="29">
        <f t="shared" si="52"/>
        <v>1</v>
      </c>
      <c r="W145" s="4">
        <v>67.8</v>
      </c>
      <c r="X145" s="4">
        <v>1.17</v>
      </c>
      <c r="Y145" s="4">
        <v>8.75</v>
      </c>
      <c r="Z145" s="2">
        <v>7.56</v>
      </c>
      <c r="AA145" s="4">
        <v>7.44</v>
      </c>
      <c r="AB145" s="4">
        <v>25</v>
      </c>
      <c r="AC145" s="4">
        <v>0.2</v>
      </c>
      <c r="AD145" s="4">
        <v>15.75</v>
      </c>
      <c r="AE145" s="4">
        <v>16.55</v>
      </c>
      <c r="AF145" s="4">
        <v>14.9</v>
      </c>
      <c r="AG145" s="25">
        <v>0.2</v>
      </c>
      <c r="AH145" s="4">
        <v>7.6</v>
      </c>
      <c r="AI145" s="4">
        <v>215</v>
      </c>
      <c r="AJ145" s="4">
        <v>896</v>
      </c>
      <c r="AK145" s="4">
        <v>430</v>
      </c>
      <c r="AL145" s="4">
        <v>848</v>
      </c>
      <c r="AM145" s="4">
        <v>213</v>
      </c>
      <c r="AN145" s="5">
        <f t="shared" si="58"/>
        <v>683</v>
      </c>
      <c r="AO145" s="30">
        <v>89</v>
      </c>
      <c r="AP145" s="4">
        <v>115.3</v>
      </c>
      <c r="AQ145" s="4">
        <v>128.4</v>
      </c>
      <c r="AR145" s="13">
        <v>100</v>
      </c>
      <c r="AS145" s="28">
        <f t="shared" si="54"/>
        <v>114.56666666666666</v>
      </c>
      <c r="AT145" s="32">
        <v>66</v>
      </c>
      <c r="AU145" s="32">
        <v>87</v>
      </c>
      <c r="AV145" s="32">
        <v>89</v>
      </c>
      <c r="AW145" s="32">
        <v>63</v>
      </c>
      <c r="AX145" s="32">
        <v>56</v>
      </c>
      <c r="AY145" s="32">
        <v>63</v>
      </c>
      <c r="AZ145" s="33">
        <f t="shared" si="60"/>
        <v>1.3296703296703296</v>
      </c>
      <c r="BA145" s="34">
        <f t="shared" si="55"/>
        <v>80.666666666666671</v>
      </c>
      <c r="BB145" s="41">
        <f t="shared" si="61"/>
        <v>-33.899999999999991</v>
      </c>
      <c r="BC145" s="34">
        <f t="shared" si="62"/>
        <v>-181.05</v>
      </c>
      <c r="BD145" s="28">
        <f t="shared" si="63"/>
        <v>-1.5803025894675591</v>
      </c>
      <c r="BE145" s="35">
        <f t="shared" si="56"/>
        <v>-0.13389240035462074</v>
      </c>
      <c r="BF145" t="str">
        <f t="shared" si="57"/>
        <v>宝丰能源</v>
      </c>
    </row>
    <row r="146" spans="1:58" x14ac:dyDescent="0.2">
      <c r="A146" s="1" t="s">
        <v>154</v>
      </c>
      <c r="B146" s="73" t="s">
        <v>47</v>
      </c>
      <c r="C146" s="2"/>
      <c r="D146" s="55">
        <v>55.6</v>
      </c>
      <c r="E146" s="4">
        <v>23.12</v>
      </c>
      <c r="F146" s="4">
        <v>7.7</v>
      </c>
      <c r="G146" s="5">
        <f t="shared" si="44"/>
        <v>1285.472</v>
      </c>
      <c r="H146" s="5">
        <f t="shared" si="59"/>
        <v>7.220779220779221</v>
      </c>
      <c r="I146" s="24">
        <v>0.1</v>
      </c>
      <c r="J146" s="66">
        <v>4.4999999999999998E-2</v>
      </c>
      <c r="K146" s="26">
        <f t="shared" si="46"/>
        <v>1.7985611510791368E-3</v>
      </c>
      <c r="L146" s="27">
        <f t="shared" si="47"/>
        <v>0.44650000000000001</v>
      </c>
      <c r="M146" s="27">
        <f t="shared" si="48"/>
        <v>8.1314878892733561E-2</v>
      </c>
      <c r="N146" s="26">
        <f t="shared" si="49"/>
        <v>5.798701298701299E-2</v>
      </c>
      <c r="O146" s="27">
        <f t="shared" si="50"/>
        <v>0.24221453287197228</v>
      </c>
      <c r="P146" s="54">
        <f t="shared" si="51"/>
        <v>683.76170212765965</v>
      </c>
      <c r="Q146" s="4">
        <v>233</v>
      </c>
      <c r="R146" s="4">
        <v>134</v>
      </c>
      <c r="S146" s="4">
        <v>2.8</v>
      </c>
      <c r="T146" s="4">
        <v>5</v>
      </c>
      <c r="U146" s="4">
        <v>5.6</v>
      </c>
      <c r="V146" s="29">
        <f t="shared" si="52"/>
        <v>1.1199999999999999</v>
      </c>
      <c r="W146" s="4">
        <v>1.88</v>
      </c>
      <c r="X146" s="4">
        <v>41</v>
      </c>
      <c r="Y146" s="4">
        <v>14.6</v>
      </c>
      <c r="Z146" s="2">
        <v>39</v>
      </c>
      <c r="AA146" s="4">
        <v>1.95</v>
      </c>
      <c r="AB146" s="4">
        <v>34</v>
      </c>
      <c r="AC146" s="4">
        <v>153</v>
      </c>
      <c r="AD146" s="4">
        <v>28.5</v>
      </c>
      <c r="AE146" s="4">
        <v>15.4</v>
      </c>
      <c r="AF146" s="4">
        <v>91</v>
      </c>
      <c r="AG146" s="25">
        <v>0.45</v>
      </c>
      <c r="AH146" s="4">
        <v>3.1</v>
      </c>
      <c r="AI146" s="4">
        <v>46.7</v>
      </c>
      <c r="AJ146" s="4">
        <v>415</v>
      </c>
      <c r="AK146" s="4">
        <v>187</v>
      </c>
      <c r="AL146" s="4">
        <v>174</v>
      </c>
      <c r="AM146" s="4">
        <v>154</v>
      </c>
      <c r="AN146" s="5">
        <f t="shared" si="58"/>
        <v>261</v>
      </c>
      <c r="AO146" s="30">
        <v>25</v>
      </c>
      <c r="AP146" s="4">
        <v>32</v>
      </c>
      <c r="AQ146" s="4">
        <v>41</v>
      </c>
      <c r="AR146" s="13">
        <v>23</v>
      </c>
      <c r="AS146" s="28">
        <f t="shared" si="54"/>
        <v>32</v>
      </c>
      <c r="AT146" s="32">
        <v>6.3</v>
      </c>
      <c r="AU146" s="32">
        <v>3.5</v>
      </c>
      <c r="AV146" s="32">
        <v>25</v>
      </c>
      <c r="AW146" s="32">
        <v>5.0999999999999996</v>
      </c>
      <c r="AX146" s="32">
        <v>6.1</v>
      </c>
      <c r="AY146" s="32">
        <v>5</v>
      </c>
      <c r="AZ146" s="33">
        <f t="shared" si="60"/>
        <v>2.1481481481481479</v>
      </c>
      <c r="BA146" s="34">
        <f t="shared" si="55"/>
        <v>11.6</v>
      </c>
      <c r="BB146" s="41">
        <f t="shared" si="61"/>
        <v>-20.399999999999999</v>
      </c>
      <c r="BC146" s="34">
        <f t="shared" si="62"/>
        <v>-0.40000000000000568</v>
      </c>
      <c r="BD146" s="28">
        <f t="shared" si="63"/>
        <v>-1.2500000000000178E-2</v>
      </c>
      <c r="BE146" s="35">
        <f t="shared" si="56"/>
        <v>-3.111697493216544E-4</v>
      </c>
      <c r="BF146" t="str">
        <f t="shared" si="57"/>
        <v>科大讯飞</v>
      </c>
    </row>
    <row r="147" spans="1:58" x14ac:dyDescent="0.2">
      <c r="A147" s="1" t="s">
        <v>155</v>
      </c>
      <c r="B147" s="73" t="s">
        <v>47</v>
      </c>
      <c r="C147" s="2"/>
      <c r="D147" s="55">
        <v>100</v>
      </c>
      <c r="E147" s="4">
        <v>91.17</v>
      </c>
      <c r="F147" s="4">
        <v>24.11</v>
      </c>
      <c r="G147" s="5">
        <f t="shared" si="44"/>
        <v>9117</v>
      </c>
      <c r="H147" s="5">
        <f t="shared" si="59"/>
        <v>4.1476565740356701</v>
      </c>
      <c r="I147" s="24">
        <v>2.395</v>
      </c>
      <c r="J147" s="66">
        <v>0.23</v>
      </c>
      <c r="K147" s="26">
        <f t="shared" si="46"/>
        <v>2.3949999999999999E-2</v>
      </c>
      <c r="L147" s="27">
        <f t="shared" si="47"/>
        <v>7.9403000000000006</v>
      </c>
      <c r="M147" s="27">
        <f t="shared" si="48"/>
        <v>4.0583525282439394</v>
      </c>
      <c r="N147" s="26">
        <f t="shared" si="49"/>
        <v>0.32933637494815432</v>
      </c>
      <c r="O147" s="27">
        <f t="shared" si="50"/>
        <v>4.4203136996819126</v>
      </c>
      <c r="P147" s="54">
        <f t="shared" si="51"/>
        <v>24.640540540540542</v>
      </c>
      <c r="Q147" s="4">
        <v>7771</v>
      </c>
      <c r="R147" s="4">
        <v>6260</v>
      </c>
      <c r="S147" s="4">
        <v>505</v>
      </c>
      <c r="T147" s="4">
        <v>416</v>
      </c>
      <c r="U147" s="4">
        <v>403</v>
      </c>
      <c r="V147" s="29">
        <f t="shared" si="52"/>
        <v>0.96875</v>
      </c>
      <c r="W147" s="4">
        <v>370</v>
      </c>
      <c r="X147" s="4">
        <v>241</v>
      </c>
      <c r="Y147" s="4">
        <v>186</v>
      </c>
      <c r="Z147" s="2">
        <v>532</v>
      </c>
      <c r="AA147" s="4">
        <v>21</v>
      </c>
      <c r="AB147" s="4">
        <v>1432</v>
      </c>
      <c r="AC147" s="4">
        <v>623</v>
      </c>
      <c r="AD147" s="4">
        <v>1160</v>
      </c>
      <c r="AE147" s="4">
        <v>276</v>
      </c>
      <c r="AF147" s="4">
        <v>2440</v>
      </c>
      <c r="AG147" s="25">
        <v>0.26</v>
      </c>
      <c r="AH147" s="4">
        <v>121</v>
      </c>
      <c r="AI147" s="4">
        <v>83</v>
      </c>
      <c r="AJ147" s="4">
        <v>7833</v>
      </c>
      <c r="AK147" s="4">
        <v>1987</v>
      </c>
      <c r="AL147" s="4">
        <v>4128</v>
      </c>
      <c r="AM147" s="4">
        <v>4960</v>
      </c>
      <c r="AN147" s="5">
        <f t="shared" si="58"/>
        <v>2873</v>
      </c>
      <c r="AO147" s="30">
        <v>1335</v>
      </c>
      <c r="AP147" s="4">
        <v>974</v>
      </c>
      <c r="AQ147" s="4">
        <v>1221</v>
      </c>
      <c r="AR147" s="13">
        <v>975</v>
      </c>
      <c r="AS147" s="28">
        <f t="shared" si="54"/>
        <v>1056.6666666666667</v>
      </c>
      <c r="AT147" s="32">
        <v>1408</v>
      </c>
      <c r="AU147" s="32">
        <v>1697</v>
      </c>
      <c r="AV147" s="32">
        <v>1335</v>
      </c>
      <c r="AW147" s="32">
        <v>416</v>
      </c>
      <c r="AX147" s="32">
        <v>313</v>
      </c>
      <c r="AY147" s="32">
        <v>177</v>
      </c>
      <c r="AZ147" s="33">
        <f t="shared" si="60"/>
        <v>4.9006622516556293</v>
      </c>
      <c r="BA147" s="34">
        <f t="shared" si="55"/>
        <v>1480</v>
      </c>
      <c r="BB147" s="41">
        <f t="shared" si="61"/>
        <v>423.33333333333326</v>
      </c>
      <c r="BC147" s="34">
        <f t="shared" si="62"/>
        <v>1504</v>
      </c>
      <c r="BD147" s="28">
        <f t="shared" si="63"/>
        <v>1.4233438485804415</v>
      </c>
      <c r="BE147" s="35">
        <f t="shared" si="56"/>
        <v>0.16496654601294286</v>
      </c>
      <c r="BF147" t="str">
        <f t="shared" si="57"/>
        <v>比亚迪</v>
      </c>
    </row>
    <row r="148" spans="1:58" x14ac:dyDescent="0.2">
      <c r="A148" s="83" t="s">
        <v>156</v>
      </c>
      <c r="B148" s="73" t="s">
        <v>47</v>
      </c>
      <c r="C148" s="2"/>
      <c r="D148" s="55">
        <v>155</v>
      </c>
      <c r="E148" s="4">
        <v>2.59</v>
      </c>
      <c r="F148" s="4">
        <v>53.1</v>
      </c>
      <c r="G148" s="5">
        <f t="shared" ref="G148:G150" si="64">D148*E148</f>
        <v>401.45</v>
      </c>
      <c r="H148" s="5">
        <f t="shared" si="59"/>
        <v>2.9190207156308849</v>
      </c>
      <c r="I148" s="24">
        <v>0.76300000000000001</v>
      </c>
      <c r="J148" s="66">
        <v>-0.2</v>
      </c>
      <c r="K148" s="26">
        <f t="shared" ref="K148:K150" si="65">I148/D148</f>
        <v>4.92258064516129E-3</v>
      </c>
      <c r="L148" s="27">
        <f t="shared" ref="L148:L150" si="66">I148+F148*J148</f>
        <v>-9.8570000000000011</v>
      </c>
      <c r="M148" s="27">
        <f t="shared" ref="M148:M150" si="67">W148/E148</f>
        <v>6.2548262548262548</v>
      </c>
      <c r="N148" s="26">
        <f t="shared" ref="N148:N150" si="68">L148/F148</f>
        <v>-0.18563088512241055</v>
      </c>
      <c r="O148" s="27">
        <f t="shared" ref="O148:O150" si="69">U148/E148</f>
        <v>7.6447876447876455</v>
      </c>
      <c r="P148" s="54">
        <f t="shared" ref="P148:P150" si="70">D148*E148/W148</f>
        <v>24.780864197530864</v>
      </c>
      <c r="Q148" s="4">
        <v>119.5</v>
      </c>
      <c r="R148" s="4">
        <v>60</v>
      </c>
      <c r="S148" s="4">
        <v>21</v>
      </c>
      <c r="T148" s="4">
        <v>19.8</v>
      </c>
      <c r="U148" s="4">
        <v>19.8</v>
      </c>
      <c r="V148" s="29">
        <f t="shared" ref="V148:V150" si="71">U148/T148</f>
        <v>1</v>
      </c>
      <c r="W148" s="4">
        <v>16.2</v>
      </c>
      <c r="X148" s="4">
        <v>30</v>
      </c>
      <c r="Y148" s="4">
        <v>3.46</v>
      </c>
      <c r="Z148" s="2">
        <v>9.6999999999999993</v>
      </c>
      <c r="AA148" s="4">
        <v>0.1</v>
      </c>
      <c r="AB148" s="4">
        <v>64</v>
      </c>
      <c r="AC148" s="4">
        <v>10.4</v>
      </c>
      <c r="AD148" s="4">
        <v>14.9</v>
      </c>
      <c r="AE148" s="4">
        <v>0.2</v>
      </c>
      <c r="AF148" s="4">
        <v>28.3</v>
      </c>
      <c r="AG148" s="25">
        <v>1</v>
      </c>
      <c r="AH148" s="4">
        <v>0</v>
      </c>
      <c r="AI148" s="4">
        <v>0</v>
      </c>
      <c r="AJ148" s="4">
        <v>175</v>
      </c>
      <c r="AK148" s="4">
        <v>128.69999999999999</v>
      </c>
      <c r="AL148" s="4">
        <v>57.3</v>
      </c>
      <c r="AM148" s="4">
        <v>44.3</v>
      </c>
      <c r="AN148" s="5">
        <f t="shared" si="58"/>
        <v>130.69999999999999</v>
      </c>
      <c r="AO148" s="30">
        <v>17.3</v>
      </c>
      <c r="AP148" s="4">
        <v>2.93</v>
      </c>
      <c r="AQ148" s="4">
        <v>2.48</v>
      </c>
      <c r="AR148" s="13">
        <v>2.5499999999999998</v>
      </c>
      <c r="AS148" s="28">
        <f t="shared" ref="AS148:AS150" si="72">AVERAGE(AP148:AR148)</f>
        <v>2.6533333333333333</v>
      </c>
      <c r="AT148" s="32">
        <v>11.2</v>
      </c>
      <c r="AU148" s="32">
        <v>21.9</v>
      </c>
      <c r="AV148" s="32">
        <v>17.3</v>
      </c>
      <c r="AW148" s="32">
        <v>19.77</v>
      </c>
      <c r="AX148" s="32">
        <v>20.5</v>
      </c>
      <c r="AY148" s="32">
        <v>11.8</v>
      </c>
      <c r="AZ148" s="33">
        <f t="shared" si="60"/>
        <v>0.96792778951411562</v>
      </c>
      <c r="BA148" s="34">
        <f t="shared" ref="BA148:BA150" si="73">AVERAGE(AT148:AV148)</f>
        <v>16.799999999999997</v>
      </c>
      <c r="BB148" s="41">
        <f t="shared" si="61"/>
        <v>14.146666666666665</v>
      </c>
      <c r="BC148" s="34">
        <f t="shared" si="62"/>
        <v>64.2</v>
      </c>
      <c r="BD148" s="28">
        <f t="shared" si="63"/>
        <v>24.195979899497488</v>
      </c>
      <c r="BE148" s="35">
        <f t="shared" ref="BE148:BE150" si="74">BC148/G148</f>
        <v>0.15992028895254704</v>
      </c>
      <c r="BF148" t="e">
        <f>#REF!</f>
        <v>#REF!</v>
      </c>
    </row>
    <row r="149" spans="1:58" x14ac:dyDescent="0.2">
      <c r="A149" s="83" t="s">
        <v>157</v>
      </c>
      <c r="B149" s="73" t="s">
        <v>47</v>
      </c>
      <c r="C149" s="2"/>
      <c r="D149" s="55">
        <v>60.46</v>
      </c>
      <c r="E149" s="4">
        <v>3.04</v>
      </c>
      <c r="F149" s="4">
        <v>9.5</v>
      </c>
      <c r="G149" s="5">
        <f t="shared" si="64"/>
        <v>183.79840000000002</v>
      </c>
      <c r="H149" s="5">
        <f t="shared" si="59"/>
        <v>6.36421052631579</v>
      </c>
      <c r="I149" s="24">
        <v>0.59</v>
      </c>
      <c r="J149" s="66">
        <v>0.09</v>
      </c>
      <c r="K149" s="26">
        <f t="shared" si="65"/>
        <v>9.7585180284485602E-3</v>
      </c>
      <c r="L149" s="27">
        <f t="shared" si="66"/>
        <v>1.4449999999999998</v>
      </c>
      <c r="M149" s="27">
        <f t="shared" si="67"/>
        <v>1.2697368421052631</v>
      </c>
      <c r="N149" s="26">
        <f t="shared" si="68"/>
        <v>0.15210526315789472</v>
      </c>
      <c r="O149" s="27">
        <f t="shared" si="69"/>
        <v>1.2960526315789473</v>
      </c>
      <c r="P149" s="54">
        <f t="shared" si="70"/>
        <v>47.616165803108814</v>
      </c>
      <c r="Q149" s="4">
        <v>44.65</v>
      </c>
      <c r="R149" s="4">
        <v>32.1</v>
      </c>
      <c r="S149" s="4">
        <v>5.0999999999999996</v>
      </c>
      <c r="T149" s="4">
        <v>4.16</v>
      </c>
      <c r="U149" s="4">
        <v>3.94</v>
      </c>
      <c r="V149" s="29">
        <f t="shared" si="71"/>
        <v>0.94711538461538458</v>
      </c>
      <c r="W149" s="4">
        <v>3.86</v>
      </c>
      <c r="X149" s="4">
        <v>4.95</v>
      </c>
      <c r="Y149" s="4">
        <v>2.1</v>
      </c>
      <c r="Z149" s="2">
        <v>0.7</v>
      </c>
      <c r="AA149" s="4">
        <v>0.4</v>
      </c>
      <c r="AB149" s="4">
        <v>7.7</v>
      </c>
      <c r="AC149" s="4">
        <v>6.27</v>
      </c>
      <c r="AD149" s="4">
        <v>5.8</v>
      </c>
      <c r="AE149" s="4">
        <v>2.5</v>
      </c>
      <c r="AF149" s="4">
        <v>4.1100000000000003</v>
      </c>
      <c r="AG149" s="25">
        <v>0.3</v>
      </c>
      <c r="AH149" s="4">
        <v>3.97</v>
      </c>
      <c r="AI149" s="4">
        <v>0.3</v>
      </c>
      <c r="AJ149" s="4">
        <v>44.5</v>
      </c>
      <c r="AK149" s="4">
        <v>26.15</v>
      </c>
      <c r="AL149" s="4">
        <v>23.85</v>
      </c>
      <c r="AM149" s="4">
        <v>10.54</v>
      </c>
      <c r="AN149" s="5">
        <f t="shared" si="58"/>
        <v>33.96</v>
      </c>
      <c r="AO149" s="30">
        <v>4.96</v>
      </c>
      <c r="AP149" s="4">
        <v>2.42</v>
      </c>
      <c r="AQ149" s="4">
        <v>4.07</v>
      </c>
      <c r="AR149" s="13">
        <v>3.49</v>
      </c>
      <c r="AS149" s="28">
        <f t="shared" si="72"/>
        <v>3.3266666666666667</v>
      </c>
      <c r="AT149" s="32">
        <v>4.47</v>
      </c>
      <c r="AU149" s="32">
        <v>1.2</v>
      </c>
      <c r="AV149" s="32">
        <v>4.96</v>
      </c>
      <c r="AW149" s="32">
        <v>4.16</v>
      </c>
      <c r="AX149" s="32">
        <v>2.92</v>
      </c>
      <c r="AY149" s="32">
        <v>1.21</v>
      </c>
      <c r="AZ149" s="33">
        <f t="shared" si="60"/>
        <v>1.2822677925211097</v>
      </c>
      <c r="BA149" s="34">
        <f t="shared" si="73"/>
        <v>3.543333333333333</v>
      </c>
      <c r="BB149" s="41">
        <f t="shared" si="61"/>
        <v>0.21666666666666634</v>
      </c>
      <c r="BC149" s="34">
        <f t="shared" si="62"/>
        <v>5.9299999999999988</v>
      </c>
      <c r="BD149" s="28">
        <f t="shared" si="63"/>
        <v>1.7825651302605208</v>
      </c>
      <c r="BE149" s="35">
        <f t="shared" si="74"/>
        <v>3.2263610564618614E-2</v>
      </c>
      <c r="BF149" t="e">
        <f>#REF!</f>
        <v>#REF!</v>
      </c>
    </row>
    <row r="150" spans="1:58" x14ac:dyDescent="0.2">
      <c r="A150" s="83" t="s">
        <v>118</v>
      </c>
      <c r="B150" s="73" t="s">
        <v>47</v>
      </c>
      <c r="C150" s="2"/>
      <c r="D150" s="55">
        <v>28.53</v>
      </c>
      <c r="E150" s="4">
        <v>244.68</v>
      </c>
      <c r="F150" s="4">
        <v>9.0399999999999991</v>
      </c>
      <c r="G150" s="5">
        <f t="shared" si="64"/>
        <v>6980.7204000000002</v>
      </c>
      <c r="H150" s="5">
        <f t="shared" si="59"/>
        <v>3.155973451327434</v>
      </c>
      <c r="I150" s="24">
        <v>0.94299999999999995</v>
      </c>
      <c r="J150" s="66">
        <v>4.4999999999999998E-2</v>
      </c>
      <c r="K150" s="26">
        <f t="shared" si="65"/>
        <v>3.3052926743778473E-2</v>
      </c>
      <c r="L150" s="27">
        <f t="shared" si="66"/>
        <v>1.3497999999999999</v>
      </c>
      <c r="M150" s="27">
        <f t="shared" si="67"/>
        <v>1.3282654896190942</v>
      </c>
      <c r="N150" s="26">
        <f t="shared" si="68"/>
        <v>0.1493141592920354</v>
      </c>
      <c r="O150" s="27">
        <f t="shared" si="69"/>
        <v>1.3282654896190942</v>
      </c>
      <c r="P150" s="54">
        <f t="shared" si="70"/>
        <v>21.479139692307694</v>
      </c>
      <c r="Q150" s="4">
        <v>845</v>
      </c>
      <c r="R150" s="4">
        <v>345</v>
      </c>
      <c r="S150" s="4">
        <v>396</v>
      </c>
      <c r="T150" s="4">
        <v>329</v>
      </c>
      <c r="U150" s="4">
        <v>325</v>
      </c>
      <c r="V150" s="29">
        <f t="shared" si="71"/>
        <v>0.9878419452887538</v>
      </c>
      <c r="W150" s="4">
        <v>325</v>
      </c>
      <c r="X150" s="4">
        <v>1.88</v>
      </c>
      <c r="Y150" s="4">
        <v>15.6</v>
      </c>
      <c r="Z150" s="2">
        <v>8.9</v>
      </c>
      <c r="AA150" s="4">
        <v>113</v>
      </c>
      <c r="AB150" s="4">
        <v>66</v>
      </c>
      <c r="AC150" s="4">
        <v>93</v>
      </c>
      <c r="AD150" s="4">
        <v>6.4</v>
      </c>
      <c r="AE150" s="4">
        <v>772</v>
      </c>
      <c r="AF150" s="4">
        <v>16.2</v>
      </c>
      <c r="AG150" s="25">
        <v>3</v>
      </c>
      <c r="AH150" s="4">
        <v>700</v>
      </c>
      <c r="AI150" s="4">
        <v>1588</v>
      </c>
      <c r="AJ150" s="4">
        <v>5664</v>
      </c>
      <c r="AK150" s="4">
        <v>2220</v>
      </c>
      <c r="AL150" s="4">
        <v>5492</v>
      </c>
      <c r="AM150" s="4">
        <v>1597</v>
      </c>
      <c r="AN150" s="5">
        <f t="shared" si="58"/>
        <v>4067</v>
      </c>
      <c r="AO150" s="30">
        <v>596</v>
      </c>
      <c r="AP150" s="4">
        <v>144.19999999999999</v>
      </c>
      <c r="AQ150" s="4">
        <v>124.2</v>
      </c>
      <c r="AR150" s="13">
        <v>124.7</v>
      </c>
      <c r="AS150" s="28">
        <f t="shared" si="72"/>
        <v>131.03333333333333</v>
      </c>
      <c r="AT150" s="32">
        <v>435</v>
      </c>
      <c r="AU150" s="32">
        <v>647</v>
      </c>
      <c r="AV150" s="32">
        <v>596</v>
      </c>
      <c r="AW150" s="32">
        <v>329</v>
      </c>
      <c r="AX150" s="32">
        <v>280</v>
      </c>
      <c r="AY150" s="32">
        <v>251</v>
      </c>
      <c r="AZ150" s="33">
        <f t="shared" si="60"/>
        <v>1.9511627906976745</v>
      </c>
      <c r="BA150" s="34">
        <f t="shared" si="73"/>
        <v>559.33333333333337</v>
      </c>
      <c r="BB150" s="41">
        <f t="shared" si="61"/>
        <v>428.30000000000007</v>
      </c>
      <c r="BC150" s="34">
        <f t="shared" si="62"/>
        <v>-1450</v>
      </c>
      <c r="BD150" s="28">
        <f t="shared" si="63"/>
        <v>-11.065886542864412</v>
      </c>
      <c r="BE150" s="35">
        <f t="shared" si="74"/>
        <v>-0.20771495159725922</v>
      </c>
      <c r="BF150" t="e">
        <f>#REF!</f>
        <v>#REF!</v>
      </c>
    </row>
  </sheetData>
  <mergeCells count="5">
    <mergeCell ref="J1:J2"/>
    <mergeCell ref="P1:P2"/>
    <mergeCell ref="AP1:AR1"/>
    <mergeCell ref="AT1:AV1"/>
    <mergeCell ref="AW1:AY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FG Zhang</dc:creator>
  <cp:lastModifiedBy>Hongyuan Yuan</cp:lastModifiedBy>
  <dcterms:created xsi:type="dcterms:W3CDTF">2025-12-30T16:36:54Z</dcterms:created>
  <dcterms:modified xsi:type="dcterms:W3CDTF">2026-02-18T22:10:45Z</dcterms:modified>
</cp:coreProperties>
</file>